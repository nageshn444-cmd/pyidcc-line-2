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1"/>
  </bookViews>
  <sheets>
    <sheet name="Monday 4'O' Clock Link" sheetId="1" r:id="rId1"/>
  </sheets>
  <externalReferences>
    <externalReference r:id="rId2"/>
    <externalReference r:id="rId3"/>
  </externalReferences>
  <definedNames>
    <definedName name="_xlnm._FilterDatabase" localSheetId="0" hidden="1">'Monday 4''O'' Clock Link'!$C$4:$H$8</definedName>
    <definedName name="AA">'[1]3.8'!$H$2:$H$130</definedName>
    <definedName name="hh">'[2]exp1 (2)'!$N$3:$N$180</definedName>
    <definedName name="JJJ">'[1]3.8'!$H$2:$H$130</definedName>
    <definedName name="KK">'[1]3.8'!$H$2:$H$130</definedName>
    <definedName name="ll" localSheetId="0">#REF!</definedName>
    <definedName name="ll">#REF!</definedName>
    <definedName name="_xlnm.Print_Area" localSheetId="0">'Monday 4''O'' Clock Link'!$A$1:$AA$98</definedName>
    <definedName name="_xlnm.Print_Titles" localSheetId="0">'Monday 4''O'' Clock Link'!$1:$2</definedName>
    <definedName name="timings" localSheetId="0">#REF!</definedName>
    <definedName name="timing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<sst xmlns="http://schemas.openxmlformats.org/spreadsheetml/2006/main" count="351" uniqueCount="117">
  <si>
    <t xml:space="preserve">Line 2  MONDAY 04:00hrs Service Link WEF 6/JAN/2025 for Time Table Dated 06/Jan/2025 (APTS - BIET) </t>
  </si>
  <si>
    <t>Duty No</t>
  </si>
  <si>
    <t>S ON Time</t>
  </si>
  <si>
    <t>Sign ON Location</t>
  </si>
  <si>
    <t>Train No</t>
  </si>
  <si>
    <t>Time Frm</t>
  </si>
  <si>
    <t>Time
To</t>
  </si>
  <si>
    <t>Trip  time</t>
  </si>
  <si>
    <t>Handover Location</t>
  </si>
  <si>
    <t>Break</t>
  </si>
  <si>
    <t>Takeover
Location</t>
  </si>
  <si>
    <t>BreakCouns</t>
  </si>
  <si>
    <t>S OFF Time</t>
  </si>
  <si>
    <t>Sign Off Location</t>
  </si>
  <si>
    <t>Kms</t>
  </si>
  <si>
    <t>Duty Hrs</t>
  </si>
  <si>
    <t>Driving Hrs</t>
  </si>
  <si>
    <t>Counselling</t>
  </si>
  <si>
    <t>Duty Type</t>
  </si>
  <si>
    <t>PYID</t>
  </si>
  <si>
    <t>Pro 1</t>
  </si>
  <si>
    <t>PRO1</t>
  </si>
  <si>
    <t>Rd3 Stby</t>
  </si>
  <si>
    <t>R3-S.BY</t>
  </si>
  <si>
    <t>KGWA Dn</t>
  </si>
  <si>
    <t>3T3</t>
  </si>
  <si>
    <t>Depo/No PDC</t>
  </si>
  <si>
    <t>P DHO</t>
  </si>
  <si>
    <t>Rd3 Induct</t>
  </si>
  <si>
    <t>5T3</t>
  </si>
  <si>
    <t>PYID UP</t>
  </si>
  <si>
    <t>PYID Dn</t>
  </si>
  <si>
    <t>Dpo - Rd3</t>
  </si>
  <si>
    <t>7T</t>
  </si>
  <si>
    <t>Depot</t>
  </si>
  <si>
    <t>9T3</t>
  </si>
  <si>
    <t>10T</t>
  </si>
  <si>
    <t>KGWA UP</t>
  </si>
  <si>
    <t xml:space="preserve">Couns(13:15) </t>
  </si>
  <si>
    <t>11T</t>
  </si>
  <si>
    <t>13T3</t>
  </si>
  <si>
    <t>PYID DN</t>
  </si>
  <si>
    <t>14T3</t>
  </si>
  <si>
    <t>15T3</t>
  </si>
  <si>
    <t>PUTH Up</t>
  </si>
  <si>
    <t>KGWA Up</t>
  </si>
  <si>
    <t>17T3</t>
  </si>
  <si>
    <t>Couns</t>
  </si>
  <si>
    <t>20T3</t>
  </si>
  <si>
    <t>22T3</t>
  </si>
  <si>
    <t>N PKT</t>
  </si>
  <si>
    <t xml:space="preserve">Couns(13:30) </t>
  </si>
  <si>
    <t>KGWA</t>
  </si>
  <si>
    <t>26T3</t>
  </si>
  <si>
    <t>27T3</t>
  </si>
  <si>
    <t>28T3</t>
  </si>
  <si>
    <t>29T3</t>
  </si>
  <si>
    <t>30T3</t>
  </si>
  <si>
    <t>31T3</t>
  </si>
  <si>
    <t>32T3</t>
  </si>
  <si>
    <t>35T3</t>
  </si>
  <si>
    <t xml:space="preserve">PYID </t>
  </si>
  <si>
    <t>41T3</t>
  </si>
  <si>
    <t>Pro 2</t>
  </si>
  <si>
    <t>Pro2</t>
  </si>
  <si>
    <t>44T3</t>
  </si>
  <si>
    <t>45T3</t>
  </si>
  <si>
    <t>46T3</t>
  </si>
  <si>
    <t>47T3</t>
  </si>
  <si>
    <t>PUTH Dn</t>
  </si>
  <si>
    <t>PUTH</t>
  </si>
  <si>
    <t>48T3</t>
  </si>
  <si>
    <t>51T</t>
  </si>
  <si>
    <t>Rd3 Stbl</t>
  </si>
  <si>
    <t>Night Kms</t>
  </si>
  <si>
    <t>Morn Kms</t>
  </si>
  <si>
    <t>APTS Dn</t>
  </si>
  <si>
    <t>Follow
Regular Weekday Morning
Changeover Link</t>
  </si>
  <si>
    <t>N64Ap</t>
  </si>
  <si>
    <t>PYID Up</t>
  </si>
  <si>
    <t>NLC Up</t>
  </si>
  <si>
    <t>N65Nlc</t>
  </si>
  <si>
    <t>Pilot</t>
  </si>
  <si>
    <t>PUTH UP</t>
  </si>
  <si>
    <t>N66Ap</t>
  </si>
  <si>
    <t>APTS Up</t>
  </si>
  <si>
    <t>N67Ap</t>
  </si>
  <si>
    <t>APTS-PUTH Pilot</t>
  </si>
  <si>
    <t>KGWA DN</t>
  </si>
  <si>
    <t>N68Ap</t>
  </si>
  <si>
    <t>PUTH-NLC Pilot</t>
  </si>
  <si>
    <t>BIET DnBE</t>
  </si>
  <si>
    <t>N69Bi</t>
  </si>
  <si>
    <t>B DHO</t>
  </si>
  <si>
    <t>N70f</t>
  </si>
  <si>
    <t>NGSA DnPf</t>
  </si>
  <si>
    <t>N71Ng</t>
  </si>
  <si>
    <t>BIET UpPf</t>
  </si>
  <si>
    <t>N72Bi</t>
  </si>
  <si>
    <t>SPGD DnPf</t>
  </si>
  <si>
    <t>N73Sp</t>
  </si>
  <si>
    <t>JIDL UpPf</t>
  </si>
  <si>
    <t>N74</t>
  </si>
  <si>
    <t>BIET DnPf</t>
  </si>
  <si>
    <t>N75Bi</t>
  </si>
  <si>
    <t>BIET-NGSA Pilot</t>
  </si>
  <si>
    <t>After Stabling go to Depot</t>
  </si>
  <si>
    <t>N76</t>
  </si>
  <si>
    <t>Depo - JHLI  Trn Bk</t>
  </si>
  <si>
    <t>N77</t>
  </si>
  <si>
    <t>PDC</t>
  </si>
  <si>
    <t>213; 214; 215</t>
  </si>
  <si>
    <t>DEPOT</t>
  </si>
  <si>
    <t>Pro 3</t>
  </si>
  <si>
    <t>Npro</t>
  </si>
  <si>
    <t>CC3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</si>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</sst>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h:mm;@"/>
  </numFmts>
  <fonts count="32">
    <font>
      <sz val="11"/>
      <color theme="1"/>
      <name val="Calibri"/>
      <charset val="134"/>
      <scheme val="minor"/>
    </font>
    <font>
      <sz val="11"/>
      <color theme="1"/>
      <name val="Tahoma"/>
      <charset val="134"/>
    </font>
    <font>
      <b/>
      <sz val="20"/>
      <color theme="1"/>
      <name val="Cambria"/>
      <charset val="134"/>
    </font>
    <font>
      <b/>
      <sz val="11"/>
      <color theme="1"/>
      <name val="Tahoma"/>
      <charset val="134"/>
    </font>
    <font>
      <sz val="12"/>
      <color theme="1"/>
      <name val="Tahoma"/>
      <charset val="134"/>
    </font>
    <font>
      <b/>
      <sz val="12"/>
      <color theme="1"/>
      <name val="Tahoma"/>
      <charset val="134"/>
    </font>
    <font>
      <u/>
      <sz val="12"/>
      <color theme="1"/>
      <name val="Tahoma"/>
      <charset val="134"/>
    </font>
    <font>
      <b/>
      <u/>
      <sz val="12"/>
      <color theme="1"/>
      <name val="Tahoma"/>
      <charset val="134"/>
    </font>
    <font>
      <b/>
      <sz val="12"/>
      <color theme="1"/>
      <name val="Arial Narrow"/>
      <charset val="134"/>
    </font>
    <font>
      <i/>
      <sz val="12"/>
      <color theme="1"/>
      <name val="Tahoma"/>
      <charset val="134"/>
    </font>
    <font>
      <sz val="12"/>
      <name val="Tahoma"/>
      <charset val="134"/>
    </font>
    <font>
      <b/>
      <sz val="11"/>
      <color theme="1"/>
      <name val="Arial Narrow"/>
      <charset val="134"/>
    </font>
    <font>
      <b/>
      <sz val="16"/>
      <color theme="1"/>
      <name val="Tahom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5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16" applyNumberFormat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7" borderId="16" applyNumberFormat="0" applyAlignment="0" applyProtection="0">
      <alignment vertical="center"/>
    </xf>
    <xf numFmtId="0" fontId="24" fillId="8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</cellStyleXfs>
  <cellXfs count="108">
    <xf numFmtId="0" fontId="0" fillId="0" borderId="0" xfId="0"/>
    <xf numFmtId="0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180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180" fontId="3" fillId="2" borderId="2" xfId="0" applyNumberFormat="1" applyFont="1" applyFill="1" applyBorder="1" applyAlignment="1">
      <alignment horizontal="center" vertical="center" wrapText="1"/>
    </xf>
    <xf numFmtId="180" fontId="3" fillId="2" borderId="1" xfId="0" applyNumberFormat="1" applyFont="1" applyFill="1" applyBorder="1" applyAlignment="1">
      <alignment horizontal="center" vertical="center" wrapText="1"/>
    </xf>
    <xf numFmtId="180" fontId="3" fillId="2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20" fontId="5" fillId="0" borderId="1" xfId="0" applyNumberFormat="1" applyFont="1" applyFill="1" applyBorder="1" applyAlignment="1">
      <alignment horizontal="center" vertical="center" wrapText="1"/>
    </xf>
    <xf numFmtId="180" fontId="5" fillId="0" borderId="1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center"/>
    </xf>
    <xf numFmtId="180" fontId="4" fillId="2" borderId="2" xfId="0" applyNumberFormat="1" applyFont="1" applyFill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  <xf numFmtId="20" fontId="1" fillId="2" borderId="0" xfId="0" applyNumberFormat="1" applyFont="1" applyFill="1" applyBorder="1" applyAlignment="1">
      <alignment horizontal="center" vertical="center"/>
    </xf>
    <xf numFmtId="180" fontId="1" fillId="2" borderId="0" xfId="0" applyNumberFormat="1" applyFont="1" applyFill="1" applyBorder="1" applyAlignment="1">
      <alignment horizontal="center" vertical="center"/>
    </xf>
    <xf numFmtId="180" fontId="1" fillId="2" borderId="0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left" vertical="center"/>
    </xf>
    <xf numFmtId="20" fontId="4" fillId="0" borderId="1" xfId="0" applyNumberFormat="1" applyFont="1" applyFill="1" applyBorder="1" applyAlignment="1">
      <alignment horizontal="center" vertical="center"/>
    </xf>
    <xf numFmtId="20" fontId="5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80" fontId="5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 wrapText="1"/>
    </xf>
    <xf numFmtId="180" fontId="4" fillId="2" borderId="1" xfId="0" applyNumberFormat="1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0" fontId="4" fillId="2" borderId="1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180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/>
    </xf>
    <xf numFmtId="180" fontId="1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80" fontId="4" fillId="3" borderId="1" xfId="0" applyNumberFormat="1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80" fontId="4" fillId="0" borderId="2" xfId="0" applyNumberFormat="1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180" fontId="1" fillId="3" borderId="0" xfId="0" applyNumberFormat="1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20" fontId="4" fillId="0" borderId="1" xfId="0" applyNumberFormat="1" applyFont="1" applyFill="1" applyBorder="1" applyAlignment="1">
      <alignment horizontal="center" vertical="center" wrapText="1"/>
    </xf>
    <xf numFmtId="20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20" fontId="4" fillId="3" borderId="1" xfId="0" applyNumberFormat="1" applyFont="1" applyFill="1" applyBorder="1" applyAlignment="1">
      <alignment horizontal="center" vertical="center" wrapText="1"/>
    </xf>
    <xf numFmtId="180" fontId="1" fillId="3" borderId="0" xfId="0" applyNumberFormat="1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 wrapText="1"/>
    </xf>
    <xf numFmtId="180" fontId="4" fillId="3" borderId="5" xfId="0" applyNumberFormat="1" applyFont="1" applyFill="1" applyBorder="1" applyAlignment="1">
      <alignment horizontal="center" vertical="center"/>
    </xf>
    <xf numFmtId="180" fontId="4" fillId="3" borderId="3" xfId="0" applyNumberFormat="1" applyFont="1" applyFill="1" applyBorder="1" applyAlignment="1">
      <alignment horizontal="center" vertical="center" wrapText="1"/>
    </xf>
    <xf numFmtId="180" fontId="4" fillId="2" borderId="5" xfId="0" applyNumberFormat="1" applyFont="1" applyFill="1" applyBorder="1" applyAlignment="1">
      <alignment horizontal="center" vertical="center"/>
    </xf>
    <xf numFmtId="180" fontId="4" fillId="2" borderId="3" xfId="0" applyNumberFormat="1" applyFont="1" applyFill="1" applyBorder="1" applyAlignment="1">
      <alignment horizontal="center" vertical="center" wrapText="1"/>
    </xf>
    <xf numFmtId="180" fontId="4" fillId="2" borderId="6" xfId="0" applyNumberFormat="1" applyFont="1" applyFill="1" applyBorder="1" applyAlignment="1">
      <alignment horizontal="center" vertical="center"/>
    </xf>
    <xf numFmtId="180" fontId="4" fillId="2" borderId="4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/>
    </xf>
    <xf numFmtId="180" fontId="11" fillId="3" borderId="1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18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right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right" vertical="center"/>
    </xf>
    <xf numFmtId="0" fontId="4" fillId="0" borderId="1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3" fontId="5" fillId="0" borderId="1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80" fontId="4" fillId="2" borderId="0" xfId="0" applyNumberFormat="1" applyFont="1" applyFill="1" applyBorder="1" applyAlignment="1">
      <alignment horizontal="center" vertical="center" wrapText="1"/>
    </xf>
    <xf numFmtId="180" fontId="4" fillId="2" borderId="0" xfId="0" applyNumberFormat="1" applyFont="1" applyFill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center"/>
    </xf>
    <xf numFmtId="180" fontId="5" fillId="2" borderId="4" xfId="0" applyNumberFormat="1" applyFont="1" applyFill="1" applyBorder="1" applyAlignment="1">
      <alignment horizontal="center" vertical="center"/>
    </xf>
    <xf numFmtId="180" fontId="5" fillId="2" borderId="1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23</xdr:col>
      <xdr:colOff>163605</xdr:colOff>
      <xdr:row>7</xdr:row>
      <xdr:rowOff>129989</xdr:rowOff>
    </xdr:from>
    <xdr:to>
      <xdr:col>23</xdr:col>
      <xdr:colOff>661487</xdr:colOff>
      <xdr:row>8</xdr:row>
      <xdr:rowOff>141195</xdr:rowOff>
    </xdr:to>
    <xdr:grpSp>
      <xdr:nvGrpSpPr>
        <xdr:cNvPr id="2" name="Group 1"/>
        <xdr:cNvGrpSpPr/>
      </xdr:nvGrpSpPr>
      <xdr:grpSpPr>
        <a:xfrm>
          <a:off x="13269595" y="2053590"/>
          <a:ext cx="497840" cy="249555"/>
          <a:chOff x="12550588" y="5065059"/>
          <a:chExt cx="497882" cy="268941"/>
        </a:xfrm>
      </xdr:grpSpPr>
      <xdr:cxnSp>
        <xdr:nvCxnSpPr>
          <xdr:cNvPr id="3" name="Straight Connector 2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4" name="Straight Arrow Connector 3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23</xdr:col>
      <xdr:colOff>145677</xdr:colOff>
      <xdr:row>22</xdr:row>
      <xdr:rowOff>123263</xdr:rowOff>
    </xdr:from>
    <xdr:to>
      <xdr:col>23</xdr:col>
      <xdr:colOff>643559</xdr:colOff>
      <xdr:row>23</xdr:row>
      <xdr:rowOff>134469</xdr:rowOff>
    </xdr:to>
    <xdr:grpSp>
      <xdr:nvGrpSpPr>
        <xdr:cNvPr id="5" name="Group 4"/>
        <xdr:cNvGrpSpPr/>
      </xdr:nvGrpSpPr>
      <xdr:grpSpPr>
        <a:xfrm>
          <a:off x="13251815" y="5638165"/>
          <a:ext cx="497840" cy="248920"/>
          <a:chOff x="12550588" y="5065059"/>
          <a:chExt cx="497882" cy="268941"/>
        </a:xfrm>
      </xdr:grpSpPr>
      <xdr:cxnSp>
        <xdr:nvCxnSpPr>
          <xdr:cNvPr id="6" name="Straight Connector 5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7" name="Straight Arrow Connector 6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67235</xdr:colOff>
      <xdr:row>16</xdr:row>
      <xdr:rowOff>1</xdr:rowOff>
    </xdr:from>
    <xdr:to>
      <xdr:col>25</xdr:col>
      <xdr:colOff>605117</xdr:colOff>
      <xdr:row>18</xdr:row>
      <xdr:rowOff>11341</xdr:rowOff>
    </xdr:to>
    <xdr:sp>
      <xdr:nvSpPr>
        <xdr:cNvPr id="8" name="Double Brace 7"/>
        <xdr:cNvSpPr/>
      </xdr:nvSpPr>
      <xdr:spPr>
        <a:xfrm>
          <a:off x="1028700" y="4076700"/>
          <a:ext cx="14063345" cy="487045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  <xdr:twoCellAnchor>
    <xdr:from>
      <xdr:col>2</xdr:col>
      <xdr:colOff>0</xdr:colOff>
      <xdr:row>7</xdr:row>
      <xdr:rowOff>0</xdr:rowOff>
    </xdr:from>
    <xdr:to>
      <xdr:col>25</xdr:col>
      <xdr:colOff>537882</xdr:colOff>
      <xdr:row>9</xdr:row>
      <xdr:rowOff>11205</xdr:rowOff>
    </xdr:to>
    <xdr:sp>
      <xdr:nvSpPr>
        <xdr:cNvPr id="9" name="Double Brace 8"/>
        <xdr:cNvSpPr/>
      </xdr:nvSpPr>
      <xdr:spPr>
        <a:xfrm>
          <a:off x="962025" y="1924050"/>
          <a:ext cx="14063345" cy="487045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  <xdr:twoCellAnchor>
    <xdr:from>
      <xdr:col>2</xdr:col>
      <xdr:colOff>100852</xdr:colOff>
      <xdr:row>43</xdr:row>
      <xdr:rowOff>2241</xdr:rowOff>
    </xdr:from>
    <xdr:to>
      <xdr:col>25</xdr:col>
      <xdr:colOff>625847</xdr:colOff>
      <xdr:row>45</xdr:row>
      <xdr:rowOff>0</xdr:rowOff>
    </xdr:to>
    <xdr:sp>
      <xdr:nvSpPr>
        <xdr:cNvPr id="10" name="Double Brace 9"/>
        <xdr:cNvSpPr/>
      </xdr:nvSpPr>
      <xdr:spPr>
        <a:xfrm>
          <a:off x="1062355" y="10527030"/>
          <a:ext cx="14050645" cy="474345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  <xdr:twoCellAnchor>
    <xdr:from>
      <xdr:col>23</xdr:col>
      <xdr:colOff>4481</xdr:colOff>
      <xdr:row>43</xdr:row>
      <xdr:rowOff>114301</xdr:rowOff>
    </xdr:from>
    <xdr:to>
      <xdr:col>23</xdr:col>
      <xdr:colOff>488916</xdr:colOff>
      <xdr:row>44</xdr:row>
      <xdr:rowOff>125506</xdr:rowOff>
    </xdr:to>
    <xdr:grpSp>
      <xdr:nvGrpSpPr>
        <xdr:cNvPr id="11" name="Group 10"/>
        <xdr:cNvGrpSpPr/>
      </xdr:nvGrpSpPr>
      <xdr:grpSpPr>
        <a:xfrm>
          <a:off x="13110845" y="10639425"/>
          <a:ext cx="483870" cy="248920"/>
          <a:chOff x="12550588" y="5065059"/>
          <a:chExt cx="497882" cy="268941"/>
        </a:xfrm>
      </xdr:grpSpPr>
      <xdr:cxnSp>
        <xdr:nvCxnSpPr>
          <xdr:cNvPr id="12" name="Straight Connector 11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13" name="Straight Arrow Connector 12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23</xdr:col>
      <xdr:colOff>163605</xdr:colOff>
      <xdr:row>7</xdr:row>
      <xdr:rowOff>129989</xdr:rowOff>
    </xdr:from>
    <xdr:to>
      <xdr:col>23</xdr:col>
      <xdr:colOff>661487</xdr:colOff>
      <xdr:row>8</xdr:row>
      <xdr:rowOff>141195</xdr:rowOff>
    </xdr:to>
    <xdr:grpSp>
      <xdr:nvGrpSpPr>
        <xdr:cNvPr id="14" name="Group 13"/>
        <xdr:cNvGrpSpPr/>
      </xdr:nvGrpSpPr>
      <xdr:grpSpPr>
        <a:xfrm>
          <a:off x="13269595" y="2053590"/>
          <a:ext cx="497840" cy="249555"/>
          <a:chOff x="12550588" y="5065059"/>
          <a:chExt cx="497882" cy="268941"/>
        </a:xfrm>
      </xdr:grpSpPr>
      <xdr:cxnSp>
        <xdr:nvCxnSpPr>
          <xdr:cNvPr id="15" name="Straight Connector 14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16" name="Straight Arrow Connector 15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7</xdr:row>
      <xdr:rowOff>0</xdr:rowOff>
    </xdr:from>
    <xdr:to>
      <xdr:col>25</xdr:col>
      <xdr:colOff>537882</xdr:colOff>
      <xdr:row>9</xdr:row>
      <xdr:rowOff>11205</xdr:rowOff>
    </xdr:to>
    <xdr:sp>
      <xdr:nvSpPr>
        <xdr:cNvPr id="17" name="Double Brace 16"/>
        <xdr:cNvSpPr/>
      </xdr:nvSpPr>
      <xdr:spPr>
        <a:xfrm>
          <a:off x="962025" y="1924050"/>
          <a:ext cx="14063345" cy="487045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  <xdr:twoCellAnchor>
    <xdr:from>
      <xdr:col>23</xdr:col>
      <xdr:colOff>124733</xdr:colOff>
      <xdr:row>31</xdr:row>
      <xdr:rowOff>79375</xdr:rowOff>
    </xdr:from>
    <xdr:to>
      <xdr:col>23</xdr:col>
      <xdr:colOff>622615</xdr:colOff>
      <xdr:row>32</xdr:row>
      <xdr:rowOff>90581</xdr:rowOff>
    </xdr:to>
    <xdr:grpSp>
      <xdr:nvGrpSpPr>
        <xdr:cNvPr id="18" name="Group 17"/>
        <xdr:cNvGrpSpPr/>
      </xdr:nvGrpSpPr>
      <xdr:grpSpPr>
        <a:xfrm>
          <a:off x="13230860" y="7737475"/>
          <a:ext cx="497840" cy="248920"/>
          <a:chOff x="12550588" y="5065059"/>
          <a:chExt cx="497882" cy="268941"/>
        </a:xfrm>
      </xdr:grpSpPr>
      <xdr:cxnSp>
        <xdr:nvCxnSpPr>
          <xdr:cNvPr id="19" name="Straight Connector 18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20" name="Straight Arrow Connector 19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23</xdr:col>
      <xdr:colOff>170090</xdr:colOff>
      <xdr:row>16</xdr:row>
      <xdr:rowOff>147410</xdr:rowOff>
    </xdr:from>
    <xdr:to>
      <xdr:col>23</xdr:col>
      <xdr:colOff>667972</xdr:colOff>
      <xdr:row>17</xdr:row>
      <xdr:rowOff>158616</xdr:rowOff>
    </xdr:to>
    <xdr:grpSp>
      <xdr:nvGrpSpPr>
        <xdr:cNvPr id="21" name="Group 20"/>
        <xdr:cNvGrpSpPr/>
      </xdr:nvGrpSpPr>
      <xdr:grpSpPr>
        <a:xfrm>
          <a:off x="13275945" y="4224020"/>
          <a:ext cx="497840" cy="248920"/>
          <a:chOff x="12550588" y="5065059"/>
          <a:chExt cx="497882" cy="268941"/>
        </a:xfrm>
      </xdr:grpSpPr>
      <xdr:cxnSp>
        <xdr:nvCxnSpPr>
          <xdr:cNvPr id="22" name="Straight Connector 21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23" name="Straight Arrow Connector 22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20064</xdr:colOff>
      <xdr:row>22</xdr:row>
      <xdr:rowOff>19051</xdr:rowOff>
    </xdr:from>
    <xdr:to>
      <xdr:col>25</xdr:col>
      <xdr:colOff>557946</xdr:colOff>
      <xdr:row>23</xdr:row>
      <xdr:rowOff>215447</xdr:rowOff>
    </xdr:to>
    <xdr:sp>
      <xdr:nvSpPr>
        <xdr:cNvPr id="24" name="Double Brace 23"/>
        <xdr:cNvSpPr/>
      </xdr:nvSpPr>
      <xdr:spPr>
        <a:xfrm>
          <a:off x="981710" y="5534025"/>
          <a:ext cx="14063345" cy="434340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  <xdr:twoCellAnchor>
    <xdr:from>
      <xdr:col>2</xdr:col>
      <xdr:colOff>47732</xdr:colOff>
      <xdr:row>31</xdr:row>
      <xdr:rowOff>46719</xdr:rowOff>
    </xdr:from>
    <xdr:to>
      <xdr:col>25</xdr:col>
      <xdr:colOff>585614</xdr:colOff>
      <xdr:row>33</xdr:row>
      <xdr:rowOff>4990</xdr:rowOff>
    </xdr:to>
    <xdr:sp>
      <xdr:nvSpPr>
        <xdr:cNvPr id="25" name="Double Brace 24"/>
        <xdr:cNvSpPr/>
      </xdr:nvSpPr>
      <xdr:spPr>
        <a:xfrm>
          <a:off x="1009650" y="7704455"/>
          <a:ext cx="14063345" cy="434340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RD%20roster\ros-2013\New%20Folder\WEEKDAYS%20FOR%20DISTRIBUTION\DOCUME~1\dmrc\LOCALS~1\Temp\Rar$DI43.384\Documents%20and%20Settings\Lenovo\Desktop\Documents%20and%20Settings\NDPL\My%20Documents\Crew%20Control%20Office%20Dwarka\Roster\Roster%202007\roster%202007\August'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7.10.112\other%20pc\Documents%20and%20Settings\nirajdwcc\Desktop\Documents%20and%20Settings\Lenovo\Desktop\Roster\ROSTER2008\Documents%20and%20Settings\NDPL\My%20Documents\Crew%20Control%20Office%20Dwarka\Roster\Roster%202007\roster%202007\R_exp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1.8"/>
      <sheetName val="2.8"/>
      <sheetName val="3.8"/>
      <sheetName val="4.8"/>
      <sheetName val="5.8"/>
      <sheetName val="6.8"/>
      <sheetName val="7.8"/>
      <sheetName val="8.8"/>
      <sheetName val="9.8"/>
      <sheetName val="10.8"/>
      <sheetName val="11.8"/>
      <sheetName val="12.8"/>
      <sheetName val="13.8"/>
      <sheetName val="14.8"/>
      <sheetName val="15.8"/>
      <sheetName val="16.8"/>
      <sheetName val="17.8"/>
      <sheetName val="18.8"/>
      <sheetName val="19.8"/>
      <sheetName val="20.8"/>
      <sheetName val="21.8"/>
      <sheetName val="22.8"/>
      <sheetName val="23.8"/>
      <sheetName val="24.8"/>
      <sheetName val="25.8"/>
      <sheetName val="26.8"/>
      <sheetName val="27.8"/>
      <sheetName val="28.8"/>
      <sheetName val="29.8"/>
      <sheetName val="30.8"/>
      <sheetName val="31.8"/>
      <sheetName val="Current TOs"/>
      <sheetName val="name slip (2)"/>
      <sheetName val="uniform"/>
      <sheetName val="uniform (2)"/>
      <sheetName val="TO PerfSumm (2)"/>
      <sheetName val="AssuGen"/>
      <sheetName val="TO PerfSumm"/>
      <sheetName val="TO BIO-DATA"/>
      <sheetName val="PHONE NO"/>
      <sheetName val="TELE"/>
      <sheetName val="Staff List (2)"/>
      <sheetName val="Current Staff"/>
      <sheetName val="Leave"/>
      <sheetName val="Current Staff (2)"/>
      <sheetName val="TRIP27N (2)"/>
      <sheetName val="TRIP27N"/>
      <sheetName val="L - 3 (3)"/>
      <sheetName val="L - 3 (2)"/>
      <sheetName val="L - 3"/>
      <sheetName val="TRIP27"/>
      <sheetName val="REST"/>
      <sheetName val="TripRB"/>
      <sheetName val="Trip26Told"/>
      <sheetName val="Trip26T3.9 (2)"/>
      <sheetName val="R26T3.9"/>
      <sheetName val="SundayTrip"/>
      <sheetName val="Trip26T (2)"/>
      <sheetName val="Staff List"/>
      <sheetName val="RSumm26T"/>
      <sheetName val="R26T"/>
      <sheetName val="27Trains (2)"/>
      <sheetName val="27Trains"/>
      <sheetName val="depot map"/>
      <sheetName val="R_Std"/>
      <sheetName val="R_SNo"/>
      <sheetName val="Test"/>
      <sheetName val="TCNew (21)"/>
      <sheetName val="TCNew (25)"/>
      <sheetName val="1.8 (2)"/>
      <sheetName val="summary"/>
      <sheetName val="train handling week one"/>
      <sheetName val="trainee"/>
      <sheetName val="DNUP16.4"/>
      <sheetName val="D"/>
      <sheetName val="P"/>
      <sheetName val="DC"/>
      <sheetName val="Dr"/>
      <sheetName val="tc28.5"/>
      <sheetName val="R28.5"/>
      <sheetName val="Driver"/>
      <sheetName val="DCC"/>
      <sheetName val="Pick up"/>
      <sheetName val="Drop"/>
      <sheetName val="R28.5M"/>
      <sheetName val="TCNew"/>
      <sheetName val="TripNew"/>
      <sheetName val="TripChart28.5M"/>
      <sheetName val="Sheet1 (2)"/>
      <sheetName val="1.9"/>
      <sheetName val="2.9"/>
      <sheetName val="3.9"/>
      <sheetName val="4.9"/>
      <sheetName val="R_today1"/>
      <sheetName val="R_Tomorrow1"/>
      <sheetName val="Trip26T3.9"/>
      <sheetName val="Driver26T"/>
      <sheetName val="Pick up26T"/>
      <sheetName val="DCC26T"/>
      <sheetName val="Drop26T"/>
      <sheetName val="SundayTri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N&amp;UP_16.04 (22+1)"/>
      <sheetName val="exp2"/>
      <sheetName val="exp1 (2)"/>
      <sheetName val="exp1"/>
      <sheetName val="Sheet1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R124"/>
  <sheetViews>
    <sheetView tabSelected="1" view="pageBreakPreview" zoomScale="85" zoomScaleNormal="70" workbookViewId="0">
      <pane xSplit="2" ySplit="2" topLeftCell="C3" activePane="bottomRight" state="frozen"/>
      <selection/>
      <selection pane="topRight"/>
      <selection pane="bottomLeft"/>
      <selection pane="bottomRight" activeCell="A31" sqref="$A31:$XFD31"/>
    </sheetView>
  </sheetViews>
  <sheetFormatPr defaultColWidth="9" defaultRowHeight="14.25"/>
  <cols>
    <col min="1" max="1" width="6.28571428571429" style="8" customWidth="1"/>
    <col min="2" max="2" width="8.14285714285714" style="7" customWidth="1"/>
    <col min="3" max="3" width="15.1428571428571" style="8" customWidth="1"/>
    <col min="4" max="4" width="8.28571428571429" style="8" customWidth="1"/>
    <col min="5" max="6" width="8.42857142857143" style="7" customWidth="1"/>
    <col min="7" max="7" width="6.71428571428571" style="7" customWidth="1"/>
    <col min="8" max="8" width="13.8571428571429" style="8" customWidth="1"/>
    <col min="9" max="9" width="7.57142857142857" style="7" customWidth="1"/>
    <col min="10" max="10" width="1" style="8" customWidth="1"/>
    <col min="11" max="11" width="10.7142857142857" style="8" customWidth="1"/>
    <col min="12" max="12" width="8.28571428571429" style="8" customWidth="1"/>
    <col min="13" max="15" width="9.42857142857143" style="7" customWidth="1"/>
    <col min="16" max="16" width="10.7142857142857" style="8" customWidth="1"/>
    <col min="17" max="17" width="7.57142857142857" style="7" customWidth="1"/>
    <col min="18" max="18" width="1.28571428571429" style="8" customWidth="1"/>
    <col min="19" max="19" width="13.8571428571429" style="8" customWidth="1"/>
    <col min="20" max="20" width="8.28571428571429" style="8" customWidth="1"/>
    <col min="21" max="21" width="8.71428571428571" style="7" customWidth="1"/>
    <col min="22" max="22" width="8.14285714285714" style="7" customWidth="1"/>
    <col min="23" max="23" width="6.85714285714286" style="7" customWidth="1"/>
    <col min="24" max="24" width="13.1428571428571" style="8" customWidth="1"/>
    <col min="25" max="25" width="7.57142857142857" style="7" customWidth="1"/>
    <col min="26" max="26" width="10.4285714285714" style="8" customWidth="1"/>
    <col min="27" max="27" width="6.71428571428571" style="9" customWidth="1"/>
    <col min="28" max="29" width="10.8571428571429" style="7" customWidth="1"/>
    <col min="30" max="31" width="9.28571428571429" style="7" customWidth="1"/>
    <col min="32" max="32" width="7.85714285714286" style="2" customWidth="1"/>
    <col min="33" max="16384" width="9.14285714285714" style="8"/>
  </cols>
  <sheetData>
    <row r="1" ht="21.75" customHeight="1" spans="1:4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 s="1" customFormat="1" ht="36" customHeight="1" spans="1:44">
      <c r="A2" s="11" t="s">
        <v>1</v>
      </c>
      <c r="B2" s="12" t="s">
        <v>2</v>
      </c>
      <c r="C2" s="11" t="s">
        <v>3</v>
      </c>
      <c r="D2" s="11" t="s">
        <v>4</v>
      </c>
      <c r="E2" s="11" t="s">
        <v>5</v>
      </c>
      <c r="F2" s="11" t="s">
        <v>6</v>
      </c>
      <c r="G2" s="11" t="s">
        <v>7</v>
      </c>
      <c r="H2" s="11" t="s">
        <v>8</v>
      </c>
      <c r="I2" s="11" t="s">
        <v>9</v>
      </c>
      <c r="J2" s="11"/>
      <c r="K2" s="11" t="s">
        <v>10</v>
      </c>
      <c r="L2" s="11" t="s">
        <v>4</v>
      </c>
      <c r="M2" s="11" t="s">
        <v>5</v>
      </c>
      <c r="N2" s="11" t="s">
        <v>6</v>
      </c>
      <c r="O2" s="11" t="s">
        <v>7</v>
      </c>
      <c r="P2" s="11" t="s">
        <v>8</v>
      </c>
      <c r="Q2" s="11" t="s">
        <v>11</v>
      </c>
      <c r="R2" s="11"/>
      <c r="S2" s="11" t="s">
        <v>10</v>
      </c>
      <c r="T2" s="11" t="s">
        <v>4</v>
      </c>
      <c r="U2" s="11" t="s">
        <v>5</v>
      </c>
      <c r="V2" s="11" t="s">
        <v>6</v>
      </c>
      <c r="W2" s="11" t="s">
        <v>7</v>
      </c>
      <c r="X2" s="11" t="s">
        <v>8</v>
      </c>
      <c r="Y2" s="12" t="s">
        <v>12</v>
      </c>
      <c r="Z2" s="11" t="s">
        <v>13</v>
      </c>
      <c r="AA2" s="11" t="s">
        <v>14</v>
      </c>
      <c r="AB2" s="13" t="s">
        <v>15</v>
      </c>
      <c r="AC2" s="14" t="s">
        <v>16</v>
      </c>
      <c r="AD2" s="15" t="s">
        <v>9</v>
      </c>
      <c r="AE2" s="14" t="s">
        <v>17</v>
      </c>
      <c r="AF2" s="16" t="s">
        <v>18</v>
      </c>
    </row>
    <row r="3" s="2" customFormat="1" ht="18.75" customHeight="1" spans="1:44">
      <c r="A3" s="17">
        <v>1</v>
      </c>
      <c r="B3" s="18">
        <v>0.25</v>
      </c>
      <c r="C3" s="17" t="s">
        <v>19</v>
      </c>
      <c r="D3" s="19" t="s">
        <v>20</v>
      </c>
      <c r="E3" s="20"/>
      <c r="F3" s="19"/>
      <c r="G3" s="21"/>
      <c r="H3" s="19"/>
      <c r="I3" s="19"/>
      <c r="J3" s="19"/>
      <c r="K3" s="19"/>
      <c r="L3" s="19"/>
      <c r="M3" s="19"/>
      <c r="N3" s="19"/>
      <c r="O3" s="21"/>
      <c r="P3" s="19"/>
      <c r="Q3" s="19"/>
      <c r="R3" s="19"/>
      <c r="S3" s="19"/>
      <c r="T3" s="19" t="s">
        <v>20</v>
      </c>
      <c r="U3" s="19"/>
      <c r="V3" s="19"/>
      <c r="W3" s="21"/>
      <c r="X3" s="19"/>
      <c r="Y3" s="18">
        <v>0.583333333333333</v>
      </c>
      <c r="Z3" s="17" t="s">
        <v>19</v>
      </c>
      <c r="AA3" s="22"/>
      <c r="AB3" s="23">
        <f t="shared" ref="AB3:AB8" si="0">MOD((Y3-B3),1)</f>
        <v>0.333333333333333</v>
      </c>
      <c r="AC3" s="24">
        <v>0</v>
      </c>
      <c r="AD3" s="24"/>
      <c r="AE3" s="24"/>
      <c r="AF3" s="24" t="s">
        <v>21</v>
      </c>
      <c r="AL3" s="25"/>
      <c r="AO3" s="26"/>
      <c r="AP3" s="27"/>
      <c r="AQ3" s="26"/>
      <c r="AR3" s="26"/>
    </row>
    <row r="4" s="1" customFormat="1" ht="18.75" customHeight="1" spans="1:44">
      <c r="A4" s="17">
        <v>2</v>
      </c>
      <c r="B4" s="18">
        <v>0.25</v>
      </c>
      <c r="C4" s="17" t="s">
        <v>19</v>
      </c>
      <c r="D4" s="28" t="s">
        <v>22</v>
      </c>
      <c r="E4" s="29"/>
      <c r="F4" s="30"/>
      <c r="G4" s="31"/>
      <c r="H4" s="32"/>
      <c r="I4" s="31"/>
      <c r="J4" s="32"/>
      <c r="K4" s="32"/>
      <c r="L4" s="32"/>
      <c r="M4" s="31"/>
      <c r="N4" s="31"/>
      <c r="O4" s="31"/>
      <c r="P4" s="32"/>
      <c r="Q4" s="18"/>
      <c r="R4" s="32"/>
      <c r="S4" s="32"/>
      <c r="T4" s="28"/>
      <c r="U4" s="32"/>
      <c r="V4" s="32"/>
      <c r="W4" s="31"/>
      <c r="X4" s="32"/>
      <c r="Y4" s="18">
        <v>0.583333333333333</v>
      </c>
      <c r="Z4" s="17" t="s">
        <v>19</v>
      </c>
      <c r="AA4" s="32"/>
      <c r="AB4" s="23">
        <f t="shared" si="0"/>
        <v>0.333333333333333</v>
      </c>
      <c r="AC4" s="33">
        <v>0</v>
      </c>
      <c r="AD4" s="33"/>
      <c r="AE4" s="33"/>
      <c r="AF4" s="33" t="s">
        <v>23</v>
      </c>
    </row>
    <row r="5" s="3" customFormat="1" ht="18.75" customHeight="1" spans="1:44">
      <c r="A5" s="17">
        <v>3</v>
      </c>
      <c r="B5" s="18">
        <v>0.25</v>
      </c>
      <c r="C5" s="32" t="s">
        <v>24</v>
      </c>
      <c r="D5" s="32">
        <v>209</v>
      </c>
      <c r="E5" s="34">
        <v>0.259027777777778</v>
      </c>
      <c r="F5" s="31">
        <v>0.325138888888889</v>
      </c>
      <c r="G5" s="31">
        <f t="shared" ref="G5:G8" si="1">MOD(F5-E5,1)</f>
        <v>0.066111111111111</v>
      </c>
      <c r="H5" s="32"/>
      <c r="I5" s="18">
        <f t="shared" ref="I5:I8" si="2">M5-F5</f>
        <v>0.020833333333333</v>
      </c>
      <c r="J5" s="19"/>
      <c r="K5" s="19"/>
      <c r="L5" s="32">
        <v>201</v>
      </c>
      <c r="M5" s="31">
        <v>0.345972222222222</v>
      </c>
      <c r="N5" s="31">
        <v>0.436250000000002</v>
      </c>
      <c r="O5" s="31">
        <f t="shared" ref="O5:O8" si="3">MOD(N5-M5,1)</f>
        <v>0.09027777777778</v>
      </c>
      <c r="P5" s="19"/>
      <c r="Q5" s="18">
        <f t="shared" ref="Q5:Q8" si="4">U5-N5</f>
        <v>0.038194444444442</v>
      </c>
      <c r="R5" s="19"/>
      <c r="S5" s="21"/>
      <c r="T5" s="32">
        <v>212</v>
      </c>
      <c r="U5" s="31">
        <v>0.474444444444444</v>
      </c>
      <c r="V5" s="31">
        <v>0.5675</v>
      </c>
      <c r="W5" s="31">
        <f t="shared" ref="W5:W10" si="5">MOD(V5-U5,1)</f>
        <v>0.093055555555556</v>
      </c>
      <c r="X5" s="19"/>
      <c r="Y5" s="18">
        <v>0.569444444444444</v>
      </c>
      <c r="Z5" s="17" t="s">
        <v>19</v>
      </c>
      <c r="AA5" s="35">
        <v>180</v>
      </c>
      <c r="AB5" s="23">
        <f t="shared" si="0"/>
        <v>0.319444444444444</v>
      </c>
      <c r="AC5" s="36">
        <f t="shared" ref="AC5:AC7" si="6">G5+O5+W5</f>
        <v>0.249444444444447</v>
      </c>
      <c r="AD5" s="36">
        <f t="shared" ref="AD5:AD7" si="7">I5+Q5</f>
        <v>0.059027777777775</v>
      </c>
      <c r="AE5" s="37"/>
      <c r="AF5" s="38" t="s">
        <v>25</v>
      </c>
      <c r="AL5" s="25"/>
      <c r="AO5" s="26"/>
      <c r="AP5" s="27"/>
      <c r="AQ5" s="26"/>
      <c r="AR5" s="26"/>
    </row>
    <row r="6" s="1" customFormat="1" ht="18.75" customHeight="1" spans="1:44">
      <c r="A6" s="17">
        <v>4</v>
      </c>
      <c r="B6" s="18">
        <f>E6-TIME(0,15,0)</f>
        <v>0.25</v>
      </c>
      <c r="C6" s="32" t="s">
        <v>26</v>
      </c>
      <c r="D6" s="39">
        <v>213</v>
      </c>
      <c r="E6" s="31">
        <v>0.260416666666667</v>
      </c>
      <c r="F6" s="31">
        <v>0.3425</v>
      </c>
      <c r="G6" s="31">
        <f t="shared" si="1"/>
        <v>0.082083333333333</v>
      </c>
      <c r="H6" s="32"/>
      <c r="I6" s="18">
        <f t="shared" si="2"/>
        <v>0.027777777777777</v>
      </c>
      <c r="J6" s="32"/>
      <c r="K6" s="32"/>
      <c r="L6" s="39">
        <v>218</v>
      </c>
      <c r="M6" s="31">
        <v>0.370277777777777</v>
      </c>
      <c r="N6" s="31">
        <v>0.482638888888889</v>
      </c>
      <c r="O6" s="31">
        <f t="shared" si="3"/>
        <v>0.112361111111112</v>
      </c>
      <c r="P6" s="32" t="s">
        <v>27</v>
      </c>
      <c r="Q6" s="18">
        <f t="shared" si="4"/>
        <v>0.0624999999999999</v>
      </c>
      <c r="R6" s="31"/>
      <c r="S6" s="21"/>
      <c r="T6" s="32">
        <v>220</v>
      </c>
      <c r="U6" s="31">
        <v>0.545138888888889</v>
      </c>
      <c r="V6" s="34">
        <v>0.56875</v>
      </c>
      <c r="W6" s="31">
        <f t="shared" si="5"/>
        <v>0.023611111111111</v>
      </c>
      <c r="X6" s="32"/>
      <c r="Y6" s="18">
        <v>0.572916666666667</v>
      </c>
      <c r="Z6" s="17" t="s">
        <v>19</v>
      </c>
      <c r="AA6" s="32">
        <v>110</v>
      </c>
      <c r="AB6" s="23">
        <f t="shared" si="0"/>
        <v>0.322916666666667</v>
      </c>
      <c r="AC6" s="36">
        <f t="shared" si="6"/>
        <v>0.218055555555556</v>
      </c>
      <c r="AD6" s="36">
        <f t="shared" si="7"/>
        <v>0.0902777777777769</v>
      </c>
      <c r="AE6" s="40"/>
      <c r="AF6" s="41">
        <v>4</v>
      </c>
    </row>
    <row r="7" ht="18.75" customHeight="1" spans="1:44">
      <c r="A7" s="17">
        <v>5</v>
      </c>
      <c r="B7" s="18">
        <v>0.25</v>
      </c>
      <c r="C7" s="32" t="s">
        <v>28</v>
      </c>
      <c r="D7" s="42">
        <v>212</v>
      </c>
      <c r="E7" s="34">
        <v>0.256944444444444</v>
      </c>
      <c r="F7" s="31">
        <v>0.335555555555555</v>
      </c>
      <c r="G7" s="31">
        <f t="shared" si="1"/>
        <v>0.078611111111111</v>
      </c>
      <c r="H7" s="32"/>
      <c r="I7" s="18">
        <f t="shared" si="2"/>
        <v>0.020833333333334</v>
      </c>
      <c r="J7" s="32"/>
      <c r="K7" s="32"/>
      <c r="L7" s="39">
        <v>215</v>
      </c>
      <c r="M7" s="31">
        <v>0.356388888888889</v>
      </c>
      <c r="N7" s="31">
        <v>0.425833333333333</v>
      </c>
      <c r="O7" s="31">
        <f t="shared" si="3"/>
        <v>0.069444444444444</v>
      </c>
      <c r="P7" s="32"/>
      <c r="Q7" s="18">
        <f t="shared" si="4"/>
        <v>0.038194444444451</v>
      </c>
      <c r="R7" s="32"/>
      <c r="S7" s="21"/>
      <c r="T7" s="32">
        <v>204</v>
      </c>
      <c r="U7" s="31">
        <v>0.464027777777784</v>
      </c>
      <c r="V7" s="31">
        <v>0.556388888888889</v>
      </c>
      <c r="W7" s="31">
        <f t="shared" si="5"/>
        <v>0.0923611111111051</v>
      </c>
      <c r="X7" s="32"/>
      <c r="Y7" s="18">
        <v>0.559027777777778</v>
      </c>
      <c r="Z7" s="17" t="s">
        <v>19</v>
      </c>
      <c r="AA7" s="32">
        <v>161</v>
      </c>
      <c r="AB7" s="23">
        <f t="shared" si="0"/>
        <v>0.309027777777778</v>
      </c>
      <c r="AC7" s="36">
        <f t="shared" si="6"/>
        <v>0.24041666666666</v>
      </c>
      <c r="AD7" s="36">
        <f t="shared" si="7"/>
        <v>0.059027777777785</v>
      </c>
      <c r="AE7" s="40"/>
      <c r="AF7" s="33" t="s">
        <v>29</v>
      </c>
    </row>
    <row r="8" ht="18.75" customHeight="1" spans="1:44">
      <c r="A8" s="43">
        <v>6</v>
      </c>
      <c r="B8" s="18">
        <v>0.253472222222222</v>
      </c>
      <c r="C8" s="17" t="s">
        <v>30</v>
      </c>
      <c r="D8" s="44">
        <v>202</v>
      </c>
      <c r="E8" s="45">
        <v>0.2625</v>
      </c>
      <c r="F8" s="46">
        <v>0.289583333333333</v>
      </c>
      <c r="G8" s="31">
        <f t="shared" si="1"/>
        <v>0.027083333333333</v>
      </c>
      <c r="H8" s="32"/>
      <c r="I8" s="18">
        <f t="shared" si="2"/>
        <v>0.019444444444445</v>
      </c>
      <c r="J8" s="32"/>
      <c r="K8" s="32" t="s">
        <v>31</v>
      </c>
      <c r="L8" s="32">
        <v>217</v>
      </c>
      <c r="M8" s="34">
        <v>0.309027777777778</v>
      </c>
      <c r="N8" s="31">
        <v>0.380694444444444</v>
      </c>
      <c r="O8" s="31">
        <f t="shared" si="3"/>
        <v>0.071666666666666</v>
      </c>
      <c r="P8" s="32"/>
      <c r="Q8" s="18">
        <f t="shared" si="4"/>
        <v>0.024305555555556</v>
      </c>
      <c r="R8" s="32"/>
      <c r="S8" s="32"/>
      <c r="T8" s="39">
        <v>212</v>
      </c>
      <c r="U8" s="31">
        <v>0.405</v>
      </c>
      <c r="V8" s="31">
        <v>0.474444444444444</v>
      </c>
      <c r="W8" s="31">
        <f t="shared" si="5"/>
        <v>0.069444444444444</v>
      </c>
      <c r="X8" s="32"/>
      <c r="Y8" s="18">
        <v>0.541666666666667</v>
      </c>
      <c r="Z8" s="17" t="s">
        <v>19</v>
      </c>
      <c r="AA8" s="32">
        <v>131</v>
      </c>
      <c r="AB8" s="23">
        <f t="shared" si="0"/>
        <v>0.288194444444445</v>
      </c>
      <c r="AC8" s="36">
        <f>O8+W8+G8+W9</f>
        <v>0.189722222222221</v>
      </c>
      <c r="AD8" s="36">
        <f>I8+Q8+Q9</f>
        <v>0.07763888888889</v>
      </c>
      <c r="AE8" s="40"/>
      <c r="AF8" s="33">
        <v>6</v>
      </c>
    </row>
    <row r="9" ht="18.75" customHeight="1" spans="1:44">
      <c r="A9" s="43"/>
      <c r="B9" s="18">
        <v>0.260416666666667</v>
      </c>
      <c r="C9" s="17"/>
      <c r="D9" s="47"/>
      <c r="E9" s="47"/>
      <c r="F9" s="47"/>
      <c r="G9" s="47"/>
      <c r="H9" s="47"/>
      <c r="I9" s="18"/>
      <c r="J9" s="47"/>
      <c r="K9" s="47"/>
      <c r="L9" s="47"/>
      <c r="M9" s="47"/>
      <c r="N9" s="47"/>
      <c r="O9" s="47"/>
      <c r="P9" s="47"/>
      <c r="Q9" s="18">
        <f>U9-V8</f>
        <v>0.033888888888889</v>
      </c>
      <c r="R9" s="47"/>
      <c r="S9" s="44"/>
      <c r="T9" s="32">
        <v>209</v>
      </c>
      <c r="U9" s="31">
        <v>0.508333333333333</v>
      </c>
      <c r="V9" s="34">
        <v>0.529861111111111</v>
      </c>
      <c r="W9" s="31">
        <f t="shared" si="5"/>
        <v>0.021527777777778</v>
      </c>
      <c r="X9" s="32"/>
      <c r="Y9" s="18"/>
      <c r="Z9" s="17"/>
      <c r="AA9" s="32"/>
      <c r="AB9" s="23"/>
      <c r="AC9" s="36"/>
      <c r="AD9" s="36"/>
      <c r="AE9" s="40"/>
      <c r="AF9" s="33"/>
    </row>
    <row r="10" s="1" customFormat="1" ht="18.75" customHeight="1" spans="1:44">
      <c r="A10" s="17">
        <v>7</v>
      </c>
      <c r="B10" s="18">
        <f t="shared" ref="B10:B14" si="8">E10-TIME(0,15,0)</f>
        <v>0.253472222222222</v>
      </c>
      <c r="C10" s="32" t="s">
        <v>32</v>
      </c>
      <c r="D10" s="39">
        <v>216</v>
      </c>
      <c r="E10" s="31">
        <v>0.263888888888889</v>
      </c>
      <c r="F10" s="31">
        <v>0.363333333333333</v>
      </c>
      <c r="G10" s="31">
        <f t="shared" ref="G10:G17" si="9">MOD(F10-E10,1)</f>
        <v>0.099444444444444</v>
      </c>
      <c r="H10" s="32"/>
      <c r="I10" s="18">
        <f t="shared" ref="I10:I17" si="10">M10-F10</f>
        <v>0.020833333333333</v>
      </c>
      <c r="J10" s="32"/>
      <c r="K10" s="32"/>
      <c r="L10" s="39">
        <v>220</v>
      </c>
      <c r="M10" s="31">
        <v>0.384166666666666</v>
      </c>
      <c r="N10" s="31">
        <v>0.453611111111111</v>
      </c>
      <c r="O10" s="31">
        <f t="shared" ref="O10:O17" si="11">MOD(N10-M10,1)</f>
        <v>0.069444444444445</v>
      </c>
      <c r="P10" s="32"/>
      <c r="Q10" s="18">
        <f t="shared" ref="Q10:Q17" si="12">U10-N10</f>
        <v>0.033194444444445</v>
      </c>
      <c r="R10" s="32"/>
      <c r="S10" s="32"/>
      <c r="T10" s="32">
        <v>207</v>
      </c>
      <c r="U10" s="31">
        <v>0.486805555555556</v>
      </c>
      <c r="V10" s="31">
        <v>0.578611111111111</v>
      </c>
      <c r="W10" s="31">
        <f t="shared" si="5"/>
        <v>0.091805555555555</v>
      </c>
      <c r="X10" s="32"/>
      <c r="Y10" s="18">
        <v>0.583333333333333</v>
      </c>
      <c r="Z10" s="17" t="s">
        <v>19</v>
      </c>
      <c r="AA10" s="32">
        <v>163</v>
      </c>
      <c r="AB10" s="23">
        <f t="shared" ref="AB10:AB17" si="13">MOD((Y10-B10),1)</f>
        <v>0.329861111111111</v>
      </c>
      <c r="AC10" s="36">
        <f t="shared" ref="AC10:AC14" si="14">G10+O10+W10</f>
        <v>0.260694444444444</v>
      </c>
      <c r="AD10" s="36">
        <f t="shared" ref="AD10:AD16" si="15">I10+Q10</f>
        <v>0.054027777777778</v>
      </c>
      <c r="AE10" s="40"/>
      <c r="AF10" s="41" t="s">
        <v>33</v>
      </c>
    </row>
    <row r="11" s="4" customFormat="1" ht="19.5" customHeight="1" spans="1:44">
      <c r="A11" s="48"/>
      <c r="B11" s="49"/>
      <c r="C11" s="50"/>
      <c r="D11" s="51"/>
      <c r="E11" s="52"/>
      <c r="F11" s="52"/>
      <c r="G11" s="52"/>
      <c r="H11" s="50"/>
      <c r="I11" s="49"/>
      <c r="J11" s="50"/>
      <c r="K11" s="50"/>
      <c r="L11" s="51"/>
      <c r="M11" s="52"/>
      <c r="N11" s="52"/>
      <c r="O11" s="52"/>
      <c r="P11" s="50"/>
      <c r="Q11" s="49"/>
      <c r="R11" s="50"/>
      <c r="S11" s="50"/>
      <c r="T11" s="50"/>
      <c r="U11" s="52"/>
      <c r="V11" s="52"/>
      <c r="W11" s="52"/>
      <c r="X11" s="50"/>
      <c r="Y11" s="49"/>
      <c r="Z11" s="48"/>
      <c r="AA11" s="32"/>
      <c r="AB11" s="53"/>
      <c r="AC11" s="49"/>
      <c r="AD11" s="49"/>
      <c r="AE11" s="52"/>
      <c r="AF11" s="48"/>
    </row>
    <row r="12" ht="18.75" customHeight="1" spans="1:44">
      <c r="A12" s="17">
        <v>8</v>
      </c>
      <c r="B12" s="18">
        <v>0.256944444444444</v>
      </c>
      <c r="C12" s="32" t="s">
        <v>24</v>
      </c>
      <c r="D12" s="32">
        <v>210</v>
      </c>
      <c r="E12" s="34">
        <v>0.269444444444444</v>
      </c>
      <c r="F12" s="31">
        <v>0.332083333333333</v>
      </c>
      <c r="G12" s="31">
        <f t="shared" si="9"/>
        <v>0.062638888888889</v>
      </c>
      <c r="H12" s="32"/>
      <c r="I12" s="18">
        <f t="shared" si="10"/>
        <v>0.020833333333333</v>
      </c>
      <c r="J12" s="32"/>
      <c r="K12" s="32"/>
      <c r="L12" s="32">
        <v>206</v>
      </c>
      <c r="M12" s="31">
        <v>0.352916666666666</v>
      </c>
      <c r="N12" s="31">
        <v>0.443194444444448</v>
      </c>
      <c r="O12" s="31">
        <f t="shared" si="11"/>
        <v>0.090277777777782</v>
      </c>
      <c r="P12" s="32"/>
      <c r="Q12" s="18">
        <f t="shared" si="12"/>
        <v>0.034722222222227</v>
      </c>
      <c r="R12" s="31"/>
      <c r="S12" s="21"/>
      <c r="T12" s="32">
        <v>205</v>
      </c>
      <c r="U12" s="31">
        <v>0.477916666666675</v>
      </c>
      <c r="V12" s="31">
        <v>0.510416666666667</v>
      </c>
      <c r="W12" s="31">
        <f t="shared" ref="W12:W18" si="16">MOD(V12-U12,1)</f>
        <v>0.032499999999992</v>
      </c>
      <c r="X12" s="32" t="s">
        <v>27</v>
      </c>
      <c r="Y12" s="18">
        <v>0.520833333333333</v>
      </c>
      <c r="Z12" s="17" t="s">
        <v>34</v>
      </c>
      <c r="AA12" s="22">
        <v>114</v>
      </c>
      <c r="AB12" s="23">
        <f t="shared" si="13"/>
        <v>0.263888888888889</v>
      </c>
      <c r="AC12" s="36">
        <f t="shared" si="14"/>
        <v>0.185416666666663</v>
      </c>
      <c r="AD12" s="36">
        <f t="shared" si="15"/>
        <v>0.05555555555556</v>
      </c>
      <c r="AE12" s="40"/>
      <c r="AF12" s="24">
        <v>8</v>
      </c>
    </row>
    <row r="13" ht="18.75" customHeight="1" spans="1:44">
      <c r="A13" s="17">
        <v>9</v>
      </c>
      <c r="B13" s="18">
        <f t="shared" si="8"/>
        <v>0.256944444444444</v>
      </c>
      <c r="C13" s="32" t="s">
        <v>31</v>
      </c>
      <c r="D13" s="32">
        <v>211</v>
      </c>
      <c r="E13" s="34">
        <v>0.267361111111111</v>
      </c>
      <c r="F13" s="31">
        <v>0.339027777777778</v>
      </c>
      <c r="G13" s="31">
        <f t="shared" si="9"/>
        <v>0.071666666666667</v>
      </c>
      <c r="H13" s="32"/>
      <c r="I13" s="18">
        <f t="shared" si="10"/>
        <v>0.027777777777778</v>
      </c>
      <c r="J13" s="32"/>
      <c r="K13" s="32"/>
      <c r="L13" s="32">
        <v>203</v>
      </c>
      <c r="M13" s="31">
        <v>0.366805555555556</v>
      </c>
      <c r="N13" s="31">
        <v>0.457083333333338</v>
      </c>
      <c r="O13" s="31">
        <f t="shared" si="11"/>
        <v>0.090277777777782</v>
      </c>
      <c r="P13" s="32"/>
      <c r="Q13" s="18">
        <f t="shared" si="12"/>
        <v>0.034722222222218</v>
      </c>
      <c r="R13" s="32"/>
      <c r="S13" s="21"/>
      <c r="T13" s="32">
        <v>221</v>
      </c>
      <c r="U13" s="31">
        <v>0.491805555555556</v>
      </c>
      <c r="V13" s="31">
        <v>0.584166666666666</v>
      </c>
      <c r="W13" s="31">
        <f t="shared" si="16"/>
        <v>0.0923611111111099</v>
      </c>
      <c r="X13" s="32"/>
      <c r="Y13" s="18">
        <v>0.586805555555556</v>
      </c>
      <c r="Z13" s="17" t="s">
        <v>19</v>
      </c>
      <c r="AA13" s="32">
        <v>191</v>
      </c>
      <c r="AB13" s="23">
        <f t="shared" si="13"/>
        <v>0.329861111111112</v>
      </c>
      <c r="AC13" s="36">
        <f t="shared" si="14"/>
        <v>0.254305555555559</v>
      </c>
      <c r="AD13" s="36">
        <f t="shared" si="15"/>
        <v>0.062499999999996</v>
      </c>
      <c r="AE13" s="40"/>
      <c r="AF13" s="41" t="s">
        <v>35</v>
      </c>
    </row>
    <row r="14" ht="18.75" customHeight="1" spans="1:44">
      <c r="A14" s="17">
        <v>10</v>
      </c>
      <c r="B14" s="18">
        <f t="shared" si="8"/>
        <v>0.256944444444444</v>
      </c>
      <c r="C14" s="32" t="s">
        <v>26</v>
      </c>
      <c r="D14" s="39">
        <v>214</v>
      </c>
      <c r="E14" s="31">
        <v>0.267361111111111</v>
      </c>
      <c r="F14" s="31">
        <v>0.349444444444444</v>
      </c>
      <c r="G14" s="31">
        <f t="shared" si="9"/>
        <v>0.082083333333333</v>
      </c>
      <c r="H14" s="32"/>
      <c r="I14" s="18">
        <f t="shared" si="10"/>
        <v>0.027777777777778</v>
      </c>
      <c r="J14" s="54"/>
      <c r="K14" s="54"/>
      <c r="L14" s="39">
        <v>219</v>
      </c>
      <c r="M14" s="31">
        <v>0.377222222222222</v>
      </c>
      <c r="N14" s="31">
        <v>0.446666666666666</v>
      </c>
      <c r="O14" s="31">
        <f t="shared" si="11"/>
        <v>0.069444444444444</v>
      </c>
      <c r="P14" s="54"/>
      <c r="Q14" s="18">
        <f t="shared" si="12"/>
        <v>0.035416666666667</v>
      </c>
      <c r="R14" s="54"/>
      <c r="S14" s="21"/>
      <c r="T14" s="32">
        <v>213</v>
      </c>
      <c r="U14" s="31">
        <v>0.482083333333333</v>
      </c>
      <c r="V14" s="31">
        <v>0.573055555555555</v>
      </c>
      <c r="W14" s="31">
        <f t="shared" si="16"/>
        <v>0.090972222222222</v>
      </c>
      <c r="X14" s="32"/>
      <c r="Y14" s="18">
        <v>0.576388888888889</v>
      </c>
      <c r="Z14" s="17" t="s">
        <v>19</v>
      </c>
      <c r="AA14" s="32">
        <v>163</v>
      </c>
      <c r="AB14" s="23">
        <f t="shared" si="13"/>
        <v>0.319444444444445</v>
      </c>
      <c r="AC14" s="36">
        <f t="shared" si="14"/>
        <v>0.242499999999999</v>
      </c>
      <c r="AD14" s="36">
        <f t="shared" si="15"/>
        <v>0.063194444444445</v>
      </c>
      <c r="AE14" s="40"/>
      <c r="AF14" s="41" t="s">
        <v>36</v>
      </c>
    </row>
    <row r="15" ht="18.75" customHeight="1" spans="1:44">
      <c r="A15" s="17">
        <v>11</v>
      </c>
      <c r="B15" s="18">
        <v>0.260416666666667</v>
      </c>
      <c r="C15" s="17" t="s">
        <v>37</v>
      </c>
      <c r="D15" s="32">
        <v>204</v>
      </c>
      <c r="E15" s="31">
        <v>0.269444444444444</v>
      </c>
      <c r="F15" s="31">
        <v>0.37375</v>
      </c>
      <c r="G15" s="31">
        <f t="shared" si="9"/>
        <v>0.104305555555556</v>
      </c>
      <c r="H15" s="32"/>
      <c r="I15" s="18">
        <f t="shared" si="10"/>
        <v>0.020833333333333</v>
      </c>
      <c r="J15" s="32"/>
      <c r="K15" s="32"/>
      <c r="L15" s="32">
        <v>207</v>
      </c>
      <c r="M15" s="31">
        <v>0.394583333333333</v>
      </c>
      <c r="N15" s="31">
        <v>0.486805555555556</v>
      </c>
      <c r="O15" s="31">
        <f t="shared" si="11"/>
        <v>0.092222222222223</v>
      </c>
      <c r="P15" s="32"/>
      <c r="Q15" s="18">
        <f t="shared" si="12"/>
        <v>0.030694444444444</v>
      </c>
      <c r="R15" s="32"/>
      <c r="S15" s="44"/>
      <c r="T15" s="32">
        <v>215</v>
      </c>
      <c r="U15" s="31">
        <v>0.5175</v>
      </c>
      <c r="V15" s="34">
        <v>0.540972222222222</v>
      </c>
      <c r="W15" s="31">
        <f t="shared" si="16"/>
        <v>0.023472222222222</v>
      </c>
      <c r="X15" s="55" t="s">
        <v>38</v>
      </c>
      <c r="Y15" s="18">
        <v>0.59375</v>
      </c>
      <c r="Z15" s="17" t="s">
        <v>19</v>
      </c>
      <c r="AA15" s="32">
        <v>160</v>
      </c>
      <c r="AB15" s="23">
        <f t="shared" si="13"/>
        <v>0.333333333333333</v>
      </c>
      <c r="AC15" s="36">
        <f>G15+O15+W28</f>
        <v>0.268750000000001</v>
      </c>
      <c r="AD15" s="36">
        <f t="shared" si="15"/>
        <v>0.051527777777777</v>
      </c>
      <c r="AE15" s="40"/>
      <c r="AF15" s="33" t="s">
        <v>39</v>
      </c>
    </row>
    <row r="16" s="1" customFormat="1" ht="18.75" customHeight="1" spans="1:44">
      <c r="A16" s="17">
        <v>12</v>
      </c>
      <c r="B16" s="18">
        <f t="shared" ref="B16:B21" si="17">E16-TIME(0,15,0)</f>
        <v>0.260416666666666</v>
      </c>
      <c r="C16" s="32" t="s">
        <v>32</v>
      </c>
      <c r="D16" s="39">
        <v>218</v>
      </c>
      <c r="E16" s="31">
        <v>0.270833333333333</v>
      </c>
      <c r="F16" s="31">
        <v>0.370277777777777</v>
      </c>
      <c r="G16" s="31">
        <f t="shared" si="9"/>
        <v>0.099444444444444</v>
      </c>
      <c r="H16" s="32"/>
      <c r="I16" s="18">
        <f t="shared" si="10"/>
        <v>0.020833333333334</v>
      </c>
      <c r="J16" s="32"/>
      <c r="K16" s="32"/>
      <c r="L16" s="39">
        <v>222</v>
      </c>
      <c r="M16" s="31">
        <v>0.391111111111111</v>
      </c>
      <c r="N16" s="31">
        <v>0.496527777777778</v>
      </c>
      <c r="O16" s="31">
        <f t="shared" si="11"/>
        <v>0.105416666666667</v>
      </c>
      <c r="P16" s="32" t="s">
        <v>27</v>
      </c>
      <c r="Q16" s="18">
        <f t="shared" si="12"/>
        <v>0.065416666666666</v>
      </c>
      <c r="R16" s="32"/>
      <c r="S16" s="32"/>
      <c r="T16" s="32">
        <v>217</v>
      </c>
      <c r="U16" s="31">
        <v>0.561944444444444</v>
      </c>
      <c r="V16" s="34">
        <v>0.585416666666667</v>
      </c>
      <c r="W16" s="31">
        <f t="shared" si="16"/>
        <v>0.023472222222223</v>
      </c>
      <c r="X16" s="32"/>
      <c r="Y16" s="18">
        <v>0.590277777777778</v>
      </c>
      <c r="Z16" s="17" t="s">
        <v>19</v>
      </c>
      <c r="AA16" s="32">
        <v>110</v>
      </c>
      <c r="AB16" s="23">
        <f t="shared" si="13"/>
        <v>0.329861111111112</v>
      </c>
      <c r="AC16" s="36">
        <f t="shared" ref="AC16:AC21" si="18">G16+O16+W16</f>
        <v>0.228333333333334</v>
      </c>
      <c r="AD16" s="36">
        <f t="shared" si="15"/>
        <v>0.08625</v>
      </c>
      <c r="AE16" s="40"/>
      <c r="AF16" s="33">
        <v>12</v>
      </c>
    </row>
    <row r="17" ht="18.75" customHeight="1" spans="1:32">
      <c r="A17" s="43">
        <v>13</v>
      </c>
      <c r="B17" s="18">
        <v>0.260416666666667</v>
      </c>
      <c r="C17" s="17" t="s">
        <v>30</v>
      </c>
      <c r="D17" s="32">
        <v>203</v>
      </c>
      <c r="E17" s="31">
        <v>0.271527777777778</v>
      </c>
      <c r="F17" s="31">
        <v>0.366805555555556</v>
      </c>
      <c r="G17" s="31">
        <f t="shared" si="9"/>
        <v>0.095277777777778</v>
      </c>
      <c r="H17" s="32"/>
      <c r="I17" s="18">
        <f t="shared" si="10"/>
        <v>0.020833333333333</v>
      </c>
      <c r="J17" s="32"/>
      <c r="K17" s="32"/>
      <c r="L17" s="32">
        <v>205</v>
      </c>
      <c r="M17" s="31">
        <v>0.387638888888889</v>
      </c>
      <c r="N17" s="31">
        <v>0.477916666666675</v>
      </c>
      <c r="O17" s="31">
        <f t="shared" si="11"/>
        <v>0.090277777777786</v>
      </c>
      <c r="P17" s="32"/>
      <c r="Q17" s="18">
        <f t="shared" si="12"/>
        <v>0.034722222222214</v>
      </c>
      <c r="R17" s="32"/>
      <c r="S17" s="21"/>
      <c r="T17" s="32">
        <v>210</v>
      </c>
      <c r="U17" s="31">
        <v>0.512638888888889</v>
      </c>
      <c r="V17" s="34">
        <v>0.535416666666667</v>
      </c>
      <c r="W17" s="31">
        <f t="shared" si="16"/>
        <v>0.022777777777778</v>
      </c>
      <c r="X17" s="32"/>
      <c r="Y17" s="18">
        <v>0.583333333333333</v>
      </c>
      <c r="Z17" s="17" t="s">
        <v>19</v>
      </c>
      <c r="AA17" s="32">
        <v>162</v>
      </c>
      <c r="AB17" s="23">
        <f t="shared" si="13"/>
        <v>0.322916666666666</v>
      </c>
      <c r="AC17" s="36">
        <f>G17+O17+W17+W18</f>
        <v>0.231805555555564</v>
      </c>
      <c r="AD17" s="36">
        <f>I17+Q17+Q18</f>
        <v>0.076527777777769</v>
      </c>
      <c r="AE17" s="40"/>
      <c r="AF17" s="33" t="s">
        <v>40</v>
      </c>
    </row>
    <row r="18" ht="18.75" customHeight="1" spans="1:32">
      <c r="A18" s="43"/>
      <c r="B18" s="18">
        <v>0.260416666666667</v>
      </c>
      <c r="C18" s="17"/>
      <c r="D18" s="47"/>
      <c r="E18" s="47"/>
      <c r="F18" s="47"/>
      <c r="G18" s="47"/>
      <c r="H18" s="47"/>
      <c r="I18" s="18"/>
      <c r="J18" s="47"/>
      <c r="K18" s="47"/>
      <c r="L18" s="47"/>
      <c r="M18" s="47"/>
      <c r="N18" s="47"/>
      <c r="O18" s="47"/>
      <c r="P18" s="47"/>
      <c r="Q18" s="18">
        <f>U18-V17</f>
        <v>0.0209722222222221</v>
      </c>
      <c r="R18" s="47"/>
      <c r="S18" s="47"/>
      <c r="T18" s="32">
        <v>204</v>
      </c>
      <c r="U18" s="31">
        <v>0.556388888888889</v>
      </c>
      <c r="V18" s="34">
        <v>0.579861111111111</v>
      </c>
      <c r="W18" s="31">
        <f t="shared" si="16"/>
        <v>0.023472222222222</v>
      </c>
      <c r="X18" s="32"/>
      <c r="Y18" s="18"/>
      <c r="Z18" s="17"/>
      <c r="AA18" s="32"/>
      <c r="AB18" s="23"/>
      <c r="AC18" s="36"/>
      <c r="AD18" s="36"/>
      <c r="AE18" s="40"/>
      <c r="AF18" s="33"/>
    </row>
    <row r="19" s="5" customFormat="1" ht="19.5" customHeight="1" spans="1:32">
      <c r="A19" s="56"/>
      <c r="B19" s="49"/>
      <c r="C19" s="48"/>
      <c r="D19" s="57"/>
      <c r="E19" s="57"/>
      <c r="F19" s="57"/>
      <c r="G19" s="57"/>
      <c r="H19" s="57"/>
      <c r="I19" s="49"/>
      <c r="J19" s="57"/>
      <c r="K19" s="57"/>
      <c r="L19" s="57"/>
      <c r="M19" s="57"/>
      <c r="N19" s="57"/>
      <c r="O19" s="57"/>
      <c r="P19" s="57"/>
      <c r="Q19" s="49"/>
      <c r="R19" s="57"/>
      <c r="S19" s="57"/>
      <c r="T19" s="50"/>
      <c r="U19" s="52"/>
      <c r="V19" s="58"/>
      <c r="W19" s="52"/>
      <c r="X19" s="50"/>
      <c r="Y19" s="49"/>
      <c r="Z19" s="48"/>
      <c r="AA19" s="32"/>
      <c r="AB19" s="53"/>
      <c r="AC19" s="49"/>
      <c r="AD19" s="49"/>
      <c r="AE19" s="52"/>
      <c r="AF19" s="50"/>
    </row>
    <row r="20" ht="18.75" customHeight="1" spans="1:32">
      <c r="A20" s="17">
        <v>14</v>
      </c>
      <c r="B20" s="18">
        <f t="shared" si="17"/>
        <v>0.263888888888889</v>
      </c>
      <c r="C20" s="32" t="s">
        <v>41</v>
      </c>
      <c r="D20" s="32">
        <v>201</v>
      </c>
      <c r="E20" s="34">
        <v>0.274305555555556</v>
      </c>
      <c r="F20" s="31">
        <v>0.345972222222222</v>
      </c>
      <c r="G20" s="31">
        <f t="shared" ref="G20:G23" si="19">MOD(F20-E20,1)</f>
        <v>0.071666666666666</v>
      </c>
      <c r="H20" s="32"/>
      <c r="I20" s="18">
        <f t="shared" ref="I20:I23" si="20">M20-F20</f>
        <v>0.027777777777778</v>
      </c>
      <c r="J20" s="32"/>
      <c r="K20" s="32"/>
      <c r="L20" s="32">
        <v>204</v>
      </c>
      <c r="M20" s="31">
        <v>0.37375</v>
      </c>
      <c r="N20" s="31">
        <v>0.464027777777784</v>
      </c>
      <c r="O20" s="31">
        <f t="shared" ref="O20:O23" si="21">MOD(N20-M20,1)</f>
        <v>0.090277777777784</v>
      </c>
      <c r="P20" s="32"/>
      <c r="Q20" s="18">
        <f t="shared" ref="Q20:Q23" si="22">U20-N20</f>
        <v>0.038888888888883</v>
      </c>
      <c r="R20" s="31"/>
      <c r="S20" s="21"/>
      <c r="T20" s="32">
        <v>214</v>
      </c>
      <c r="U20" s="31">
        <v>0.502916666666667</v>
      </c>
      <c r="V20" s="31">
        <v>0.595277777777777</v>
      </c>
      <c r="W20" s="31">
        <f t="shared" ref="W20:W25" si="23">MOD(V20-U20,1)</f>
        <v>0.09236111111111</v>
      </c>
      <c r="X20" s="32"/>
      <c r="Y20" s="18">
        <v>0.597222222222222</v>
      </c>
      <c r="Z20" s="17" t="s">
        <v>19</v>
      </c>
      <c r="AA20" s="32">
        <v>191</v>
      </c>
      <c r="AB20" s="23">
        <f t="shared" ref="AB20:AB23" si="24">MOD((Y20-B20),1)</f>
        <v>0.333333333333333</v>
      </c>
      <c r="AC20" s="36">
        <f t="shared" si="18"/>
        <v>0.25430555555556</v>
      </c>
      <c r="AD20" s="36">
        <f t="shared" ref="AD20:AD22" si="25">I20+Q20</f>
        <v>0.066666666666661</v>
      </c>
      <c r="AE20" s="40"/>
      <c r="AF20" s="41" t="s">
        <v>42</v>
      </c>
    </row>
    <row r="21" ht="18.75" customHeight="1" spans="1:32">
      <c r="A21" s="17">
        <v>15</v>
      </c>
      <c r="B21" s="18">
        <f t="shared" si="17"/>
        <v>0.263888888888889</v>
      </c>
      <c r="C21" s="32" t="s">
        <v>26</v>
      </c>
      <c r="D21" s="39">
        <v>215</v>
      </c>
      <c r="E21" s="31">
        <v>0.274305555555556</v>
      </c>
      <c r="F21" s="31">
        <v>0.356388888888889</v>
      </c>
      <c r="G21" s="31">
        <f t="shared" si="19"/>
        <v>0.082083333333333</v>
      </c>
      <c r="H21" s="32"/>
      <c r="I21" s="18">
        <f t="shared" si="20"/>
        <v>0.024305555555555</v>
      </c>
      <c r="J21" s="32"/>
      <c r="K21" s="32"/>
      <c r="L21" s="32">
        <v>217</v>
      </c>
      <c r="M21" s="31">
        <v>0.380694444444444</v>
      </c>
      <c r="N21" s="31">
        <v>0.470972222222229</v>
      </c>
      <c r="O21" s="31">
        <f t="shared" si="21"/>
        <v>0.090277777777785</v>
      </c>
      <c r="P21" s="32"/>
      <c r="Q21" s="18">
        <f t="shared" si="22"/>
        <v>0.027777777777771</v>
      </c>
      <c r="R21" s="32"/>
      <c r="S21" s="32"/>
      <c r="T21" s="32">
        <v>208</v>
      </c>
      <c r="U21" s="31">
        <v>0.49875</v>
      </c>
      <c r="V21" s="31">
        <v>0.589722222222222</v>
      </c>
      <c r="W21" s="31">
        <f t="shared" si="23"/>
        <v>0.090972222222222</v>
      </c>
      <c r="X21" s="32"/>
      <c r="Y21" s="18">
        <v>0.59375</v>
      </c>
      <c r="Z21" s="17" t="s">
        <v>19</v>
      </c>
      <c r="AA21" s="32">
        <v>181</v>
      </c>
      <c r="AB21" s="23">
        <f t="shared" si="24"/>
        <v>0.329861111111111</v>
      </c>
      <c r="AC21" s="36">
        <f t="shared" si="18"/>
        <v>0.26333333333334</v>
      </c>
      <c r="AD21" s="36">
        <f t="shared" si="25"/>
        <v>0.052083333333326</v>
      </c>
      <c r="AE21" s="40"/>
      <c r="AF21" s="33" t="s">
        <v>43</v>
      </c>
    </row>
    <row r="22" ht="18.75" customHeight="1" spans="1:32">
      <c r="A22" s="43">
        <v>16</v>
      </c>
      <c r="B22" s="18">
        <v>0.267361111111111</v>
      </c>
      <c r="C22" s="17" t="s">
        <v>44</v>
      </c>
      <c r="D22" s="32">
        <v>207</v>
      </c>
      <c r="E22" s="31">
        <v>0.276388888888889</v>
      </c>
      <c r="F22" s="34">
        <v>0.324305555555555</v>
      </c>
      <c r="G22" s="31">
        <f t="shared" si="19"/>
        <v>0.047916666666666</v>
      </c>
      <c r="H22" s="32"/>
      <c r="I22" s="18">
        <f t="shared" si="20"/>
        <v>0.013888888888889</v>
      </c>
      <c r="J22" s="32"/>
      <c r="K22" s="32" t="s">
        <v>31</v>
      </c>
      <c r="L22" s="32">
        <v>208</v>
      </c>
      <c r="M22" s="34">
        <v>0.338194444444444</v>
      </c>
      <c r="N22" s="31">
        <v>0.408472222222222</v>
      </c>
      <c r="O22" s="31">
        <f t="shared" si="21"/>
        <v>0.070277777777778</v>
      </c>
      <c r="P22" s="32"/>
      <c r="Q22" s="18">
        <f t="shared" si="22"/>
        <v>0.02777777777778</v>
      </c>
      <c r="R22" s="32"/>
      <c r="S22" s="32"/>
      <c r="T22" s="32">
        <v>201</v>
      </c>
      <c r="U22" s="31">
        <v>0.436250000000002</v>
      </c>
      <c r="V22" s="31">
        <v>0.528611111111111</v>
      </c>
      <c r="W22" s="31">
        <f t="shared" si="23"/>
        <v>0.092361111111109</v>
      </c>
      <c r="X22" s="55"/>
      <c r="Y22" s="18">
        <v>0.583333333333333</v>
      </c>
      <c r="Z22" s="17" t="s">
        <v>19</v>
      </c>
      <c r="AA22" s="32">
        <v>157</v>
      </c>
      <c r="AB22" s="23">
        <f t="shared" si="24"/>
        <v>0.315972222222222</v>
      </c>
      <c r="AC22" s="36">
        <f>G22+O22+W22+W33</f>
        <v>0.234027777777776</v>
      </c>
      <c r="AD22" s="36">
        <f t="shared" si="25"/>
        <v>0.041666666666669</v>
      </c>
      <c r="AE22" s="40"/>
      <c r="AF22" s="33">
        <v>16</v>
      </c>
    </row>
    <row r="23" ht="18.75" customHeight="1" spans="1:32">
      <c r="A23" s="43">
        <v>17</v>
      </c>
      <c r="B23" s="18">
        <v>0.267361111111111</v>
      </c>
      <c r="C23" s="17" t="s">
        <v>45</v>
      </c>
      <c r="D23" s="32">
        <v>205</v>
      </c>
      <c r="E23" s="31">
        <v>0.278472222222222</v>
      </c>
      <c r="F23" s="34">
        <v>0.317361111111111</v>
      </c>
      <c r="G23" s="31">
        <f t="shared" si="19"/>
        <v>0.038888888888889</v>
      </c>
      <c r="H23" s="32"/>
      <c r="I23" s="18">
        <f t="shared" si="20"/>
        <v>0.0125</v>
      </c>
      <c r="J23" s="19"/>
      <c r="K23" s="31" t="s">
        <v>31</v>
      </c>
      <c r="L23" s="32">
        <v>221</v>
      </c>
      <c r="M23" s="34">
        <v>0.329861111111111</v>
      </c>
      <c r="N23" s="31">
        <v>0.401527777777778</v>
      </c>
      <c r="O23" s="31">
        <f t="shared" si="21"/>
        <v>0.071666666666667</v>
      </c>
      <c r="P23" s="19"/>
      <c r="Q23" s="18">
        <f t="shared" si="22"/>
        <v>0.024305555555555</v>
      </c>
      <c r="R23" s="19"/>
      <c r="S23" s="19"/>
      <c r="T23" s="32">
        <v>215</v>
      </c>
      <c r="U23" s="31">
        <v>0.425833333333333</v>
      </c>
      <c r="V23" s="31">
        <v>0.5175</v>
      </c>
      <c r="W23" s="31">
        <f t="shared" si="23"/>
        <v>0.091666666666667</v>
      </c>
      <c r="X23" s="19"/>
      <c r="Y23" s="18">
        <v>0.600694444444444</v>
      </c>
      <c r="Z23" s="17" t="s">
        <v>19</v>
      </c>
      <c r="AA23" s="32">
        <v>160</v>
      </c>
      <c r="AB23" s="23">
        <f t="shared" si="24"/>
        <v>0.333333333333333</v>
      </c>
      <c r="AC23" s="36">
        <f>G23+O23+W23+W24</f>
        <v>0.225694444444446</v>
      </c>
      <c r="AD23" s="36">
        <f>I23+Q23+Q24</f>
        <v>0.0923611111111101</v>
      </c>
      <c r="AE23" s="40"/>
      <c r="AF23" s="24" t="s">
        <v>46</v>
      </c>
    </row>
    <row r="24" ht="18.75" customHeight="1" spans="1:32">
      <c r="A24" s="43"/>
      <c r="B24" s="18">
        <v>0.260416666666667</v>
      </c>
      <c r="C24" s="17"/>
      <c r="D24" s="47"/>
      <c r="E24" s="47"/>
      <c r="F24" s="47"/>
      <c r="G24" s="31"/>
      <c r="H24" s="47"/>
      <c r="I24" s="18"/>
      <c r="J24" s="47"/>
      <c r="K24" s="47"/>
      <c r="L24" s="47"/>
      <c r="M24" s="47"/>
      <c r="N24" s="47"/>
      <c r="O24" s="47"/>
      <c r="P24" s="47"/>
      <c r="Q24" s="18">
        <f>U24-V23</f>
        <v>0.055555555555555</v>
      </c>
      <c r="R24" s="47"/>
      <c r="S24" s="47"/>
      <c r="T24" s="32">
        <v>213</v>
      </c>
      <c r="U24" s="31">
        <v>0.573055555555555</v>
      </c>
      <c r="V24" s="34">
        <v>0.596527777777778</v>
      </c>
      <c r="W24" s="31">
        <f t="shared" si="23"/>
        <v>0.023472222222223</v>
      </c>
      <c r="X24" s="19"/>
      <c r="Y24" s="18"/>
      <c r="Z24" s="17"/>
      <c r="AA24" s="32"/>
      <c r="AB24" s="23"/>
      <c r="AC24" s="36"/>
      <c r="AD24" s="36"/>
      <c r="AE24" s="40"/>
      <c r="AF24" s="24"/>
    </row>
    <row r="25" ht="18.75" customHeight="1" spans="1:32">
      <c r="A25" s="17">
        <v>18</v>
      </c>
      <c r="B25" s="18">
        <f t="shared" ref="B25:B28" si="26">E25-TIME(0,15,0)</f>
        <v>0.267361111111111</v>
      </c>
      <c r="C25" s="32" t="s">
        <v>32</v>
      </c>
      <c r="D25" s="39">
        <v>219</v>
      </c>
      <c r="E25" s="31">
        <v>0.277777777777778</v>
      </c>
      <c r="F25" s="31">
        <v>0.377222222222222</v>
      </c>
      <c r="G25" s="31">
        <f t="shared" ref="G25:G32" si="27">MOD(F25-E25,1)</f>
        <v>0.099444444444444</v>
      </c>
      <c r="H25" s="32"/>
      <c r="I25" s="18">
        <f t="shared" ref="I25:I32" si="28">M25-F25</f>
        <v>0.020833333333333</v>
      </c>
      <c r="J25" s="32"/>
      <c r="K25" s="32"/>
      <c r="L25" s="39">
        <v>223</v>
      </c>
      <c r="M25" s="31">
        <v>0.398055555555555</v>
      </c>
      <c r="N25" s="31">
        <v>0.5</v>
      </c>
      <c r="O25" s="31">
        <f t="shared" ref="O25:O32" si="29">MOD(N25-M25,1)</f>
        <v>0.101944444444445</v>
      </c>
      <c r="P25" s="32" t="s">
        <v>27</v>
      </c>
      <c r="Q25" s="18">
        <f t="shared" ref="Q25:Q32" si="30">U25-N25</f>
        <v>0.041666666666667</v>
      </c>
      <c r="R25" s="32"/>
      <c r="S25" s="31"/>
      <c r="T25" s="59" t="s">
        <v>47</v>
      </c>
      <c r="U25" s="31">
        <v>0.541666666666667</v>
      </c>
      <c r="V25" s="31">
        <v>0.597222222222222</v>
      </c>
      <c r="W25" s="31">
        <f t="shared" si="23"/>
        <v>0.055555555555555</v>
      </c>
      <c r="X25" s="32"/>
      <c r="Y25" s="18">
        <v>0.600694444444444</v>
      </c>
      <c r="Z25" s="17" t="s">
        <v>19</v>
      </c>
      <c r="AA25" s="32">
        <f>45+52</f>
        <v>97</v>
      </c>
      <c r="AB25" s="23">
        <f t="shared" ref="AB25:AB32" si="31">MOD((Y25-B25),1)</f>
        <v>0.333333333333333</v>
      </c>
      <c r="AC25" s="36">
        <f>G25+O25</f>
        <v>0.201388888888889</v>
      </c>
      <c r="AD25" s="36">
        <f t="shared" ref="AD25:AD32" si="32">I25+Q25</f>
        <v>0.0624999999999999</v>
      </c>
      <c r="AE25" s="40">
        <f>W25</f>
        <v>0.055555555555555</v>
      </c>
      <c r="AF25" s="33">
        <v>18</v>
      </c>
    </row>
    <row r="26" s="5" customFormat="1" ht="19.5" customHeight="1" spans="1:32">
      <c r="A26" s="48"/>
      <c r="B26" s="49"/>
      <c r="C26" s="50"/>
      <c r="D26" s="51"/>
      <c r="E26" s="52"/>
      <c r="F26" s="52"/>
      <c r="G26" s="52"/>
      <c r="H26" s="50"/>
      <c r="I26" s="49"/>
      <c r="J26" s="50"/>
      <c r="K26" s="50"/>
      <c r="L26" s="51"/>
      <c r="M26" s="52"/>
      <c r="N26" s="52"/>
      <c r="O26" s="52"/>
      <c r="P26" s="50"/>
      <c r="Q26" s="49"/>
      <c r="R26" s="50"/>
      <c r="S26" s="52"/>
      <c r="T26" s="60"/>
      <c r="U26" s="52"/>
      <c r="V26" s="52"/>
      <c r="W26" s="52"/>
      <c r="X26" s="50"/>
      <c r="Y26" s="49"/>
      <c r="Z26" s="48"/>
      <c r="AA26" s="32"/>
      <c r="AB26" s="53"/>
      <c r="AC26" s="49"/>
      <c r="AD26" s="49"/>
      <c r="AE26" s="52"/>
      <c r="AF26" s="50"/>
    </row>
    <row r="27" ht="18" customHeight="1" spans="1:32">
      <c r="A27" s="17">
        <v>19</v>
      </c>
      <c r="B27" s="18">
        <f t="shared" si="26"/>
        <v>0.270833333333333</v>
      </c>
      <c r="C27" s="32" t="s">
        <v>31</v>
      </c>
      <c r="D27" s="32">
        <v>206</v>
      </c>
      <c r="E27" s="34">
        <v>0.28125</v>
      </c>
      <c r="F27" s="31">
        <v>0.352916666666666</v>
      </c>
      <c r="G27" s="31">
        <f t="shared" si="27"/>
        <v>0.071666666666666</v>
      </c>
      <c r="H27" s="32"/>
      <c r="I27" s="18">
        <f t="shared" si="28"/>
        <v>0.026944444444445</v>
      </c>
      <c r="J27" s="32"/>
      <c r="K27" s="32" t="s">
        <v>31</v>
      </c>
      <c r="L27" s="32">
        <v>202</v>
      </c>
      <c r="M27" s="34">
        <v>0.379861111111111</v>
      </c>
      <c r="N27" s="31">
        <v>0.486111111111111</v>
      </c>
      <c r="O27" s="31">
        <f t="shared" si="29"/>
        <v>0.10625</v>
      </c>
      <c r="P27" s="32" t="s">
        <v>27</v>
      </c>
      <c r="Q27" s="18">
        <f t="shared" si="30"/>
        <v>0.064583333333333</v>
      </c>
      <c r="R27" s="32"/>
      <c r="S27" s="32"/>
      <c r="T27" s="32">
        <v>203</v>
      </c>
      <c r="U27" s="31">
        <v>0.550694444444444</v>
      </c>
      <c r="V27" s="34">
        <v>0.574305555555556</v>
      </c>
      <c r="W27" s="31">
        <f t="shared" ref="W27:W34" si="33">MOD(V27-U27,1)</f>
        <v>0.0236111111111119</v>
      </c>
      <c r="X27" s="32"/>
      <c r="Y27" s="18">
        <v>0.579861111111111</v>
      </c>
      <c r="Z27" s="17" t="s">
        <v>19</v>
      </c>
      <c r="AA27" s="32">
        <v>125</v>
      </c>
      <c r="AB27" s="23">
        <f t="shared" si="31"/>
        <v>0.309027777777778</v>
      </c>
      <c r="AC27" s="36">
        <f t="shared" ref="AC27:AC32" si="34">G27+O27+W27</f>
        <v>0.201527777777778</v>
      </c>
      <c r="AD27" s="36">
        <f t="shared" si="32"/>
        <v>0.091527777777778</v>
      </c>
      <c r="AE27" s="40"/>
      <c r="AF27" s="33">
        <v>19</v>
      </c>
    </row>
    <row r="28" ht="18.75" customHeight="1" spans="1:32">
      <c r="A28" s="17">
        <v>20</v>
      </c>
      <c r="B28" s="18">
        <f t="shared" si="26"/>
        <v>0.274305555555555</v>
      </c>
      <c r="C28" s="32" t="s">
        <v>32</v>
      </c>
      <c r="D28" s="39">
        <v>220</v>
      </c>
      <c r="E28" s="31">
        <v>0.284722222222222</v>
      </c>
      <c r="F28" s="31">
        <v>0.384166666666666</v>
      </c>
      <c r="G28" s="31">
        <f t="shared" si="27"/>
        <v>0.099444444444444</v>
      </c>
      <c r="H28" s="32"/>
      <c r="I28" s="18">
        <f t="shared" si="28"/>
        <v>0.024305555555556</v>
      </c>
      <c r="J28" s="32"/>
      <c r="K28" s="32"/>
      <c r="L28" s="32">
        <v>208</v>
      </c>
      <c r="M28" s="31">
        <v>0.408472222222222</v>
      </c>
      <c r="N28" s="31">
        <v>0.49875</v>
      </c>
      <c r="O28" s="31">
        <f t="shared" si="29"/>
        <v>0.090277777777778</v>
      </c>
      <c r="P28" s="32"/>
      <c r="Q28" s="18">
        <f t="shared" si="30"/>
        <v>0.035277777777778</v>
      </c>
      <c r="R28" s="32"/>
      <c r="S28" s="31" t="s">
        <v>31</v>
      </c>
      <c r="T28" s="32">
        <v>210</v>
      </c>
      <c r="U28" s="34">
        <v>0.534027777777778</v>
      </c>
      <c r="V28" s="31">
        <v>0.60625</v>
      </c>
      <c r="W28" s="31">
        <f t="shared" si="33"/>
        <v>0.072222222222222</v>
      </c>
      <c r="X28" s="32"/>
      <c r="Y28" s="18">
        <v>0.611111111111111</v>
      </c>
      <c r="Z28" s="17" t="s">
        <v>19</v>
      </c>
      <c r="AA28" s="32">
        <v>168</v>
      </c>
      <c r="AB28" s="23">
        <f t="shared" si="31"/>
        <v>0.336805555555556</v>
      </c>
      <c r="AC28" s="36">
        <f>G28+O28+W15</f>
        <v>0.213194444444444</v>
      </c>
      <c r="AD28" s="36">
        <f t="shared" si="32"/>
        <v>0.059583333333334</v>
      </c>
      <c r="AE28" s="40"/>
      <c r="AF28" s="33" t="s">
        <v>48</v>
      </c>
    </row>
    <row r="29" ht="18.75" customHeight="1" spans="1:32">
      <c r="A29" s="17">
        <v>21</v>
      </c>
      <c r="B29" s="18">
        <v>0.277777777777778</v>
      </c>
      <c r="C29" s="32" t="s">
        <v>44</v>
      </c>
      <c r="D29" s="32">
        <v>208</v>
      </c>
      <c r="E29" s="31">
        <v>0.286805555555556</v>
      </c>
      <c r="F29" s="34">
        <v>0.338194444444444</v>
      </c>
      <c r="G29" s="31">
        <f t="shared" si="27"/>
        <v>0.051388888888888</v>
      </c>
      <c r="H29" s="32"/>
      <c r="I29" s="18">
        <f t="shared" si="28"/>
        <v>0.025138888888889</v>
      </c>
      <c r="J29" s="32"/>
      <c r="K29" s="32"/>
      <c r="L29" s="39">
        <v>216</v>
      </c>
      <c r="M29" s="31">
        <v>0.363333333333333</v>
      </c>
      <c r="N29" s="31">
        <v>0.475694444444444</v>
      </c>
      <c r="O29" s="31">
        <f t="shared" si="29"/>
        <v>0.112361111111111</v>
      </c>
      <c r="P29" s="32" t="s">
        <v>27</v>
      </c>
      <c r="Q29" s="18">
        <f t="shared" si="30"/>
        <v>0.063888888888889</v>
      </c>
      <c r="R29" s="32"/>
      <c r="S29" s="31" t="s">
        <v>31</v>
      </c>
      <c r="T29" s="32">
        <v>215</v>
      </c>
      <c r="U29" s="34">
        <v>0.539583333333333</v>
      </c>
      <c r="V29" s="31">
        <v>0.611805555555556</v>
      </c>
      <c r="W29" s="31">
        <f t="shared" si="33"/>
        <v>0.0722222222222231</v>
      </c>
      <c r="X29" s="32"/>
      <c r="Y29" s="18">
        <v>0.614583333333333</v>
      </c>
      <c r="Z29" s="17" t="s">
        <v>19</v>
      </c>
      <c r="AA29" s="32">
        <v>141</v>
      </c>
      <c r="AB29" s="23">
        <f t="shared" si="31"/>
        <v>0.336805555555555</v>
      </c>
      <c r="AC29" s="36">
        <f>G29+O29+W37</f>
        <v>0.236111111111109</v>
      </c>
      <c r="AD29" s="36">
        <f t="shared" si="32"/>
        <v>0.089027777777778</v>
      </c>
      <c r="AE29" s="40"/>
      <c r="AF29" s="41">
        <v>21</v>
      </c>
    </row>
    <row r="30" ht="18.75" customHeight="1" spans="1:32">
      <c r="A30" s="17">
        <v>22</v>
      </c>
      <c r="B30" s="18">
        <v>0.277777777777778</v>
      </c>
      <c r="C30" s="32" t="s">
        <v>41</v>
      </c>
      <c r="D30" s="32">
        <v>202</v>
      </c>
      <c r="E30" s="34">
        <v>0.289583333333333</v>
      </c>
      <c r="F30" s="34">
        <v>0.379861111111111</v>
      </c>
      <c r="G30" s="31">
        <f t="shared" si="27"/>
        <v>0.090277777777778</v>
      </c>
      <c r="H30" s="32"/>
      <c r="I30" s="18">
        <f t="shared" si="28"/>
        <v>0.021666666666667</v>
      </c>
      <c r="J30" s="32"/>
      <c r="K30" s="32"/>
      <c r="L30" s="32">
        <v>221</v>
      </c>
      <c r="M30" s="31">
        <v>0.401527777777778</v>
      </c>
      <c r="N30" s="31">
        <v>0.491805555555556</v>
      </c>
      <c r="O30" s="31">
        <f t="shared" si="29"/>
        <v>0.090277777777778</v>
      </c>
      <c r="P30" s="32"/>
      <c r="Q30" s="18">
        <f t="shared" si="30"/>
        <v>0.036666666666666</v>
      </c>
      <c r="R30" s="32"/>
      <c r="S30" s="32" t="s">
        <v>31</v>
      </c>
      <c r="T30" s="32">
        <v>209</v>
      </c>
      <c r="U30" s="34">
        <v>0.528472222222222</v>
      </c>
      <c r="V30" s="31">
        <v>0.600833333333333</v>
      </c>
      <c r="W30" s="31">
        <f t="shared" si="33"/>
        <v>0.072361111111111</v>
      </c>
      <c r="X30" s="55"/>
      <c r="Y30" s="18">
        <v>0.611111111111111</v>
      </c>
      <c r="Z30" s="17" t="s">
        <v>19</v>
      </c>
      <c r="AA30" s="32">
        <v>191</v>
      </c>
      <c r="AB30" s="61">
        <f t="shared" si="31"/>
        <v>0.333333333333333</v>
      </c>
      <c r="AC30" s="18">
        <f t="shared" si="34"/>
        <v>0.252916666666667</v>
      </c>
      <c r="AD30" s="18">
        <f t="shared" si="32"/>
        <v>0.058333333333333</v>
      </c>
      <c r="AE30" s="40"/>
      <c r="AF30" s="33" t="s">
        <v>49</v>
      </c>
    </row>
    <row r="31" ht="18.75" customHeight="1" spans="1:32">
      <c r="A31" s="17">
        <v>23</v>
      </c>
      <c r="B31" s="18">
        <f t="shared" ref="B31:B34" si="35">E31-TIME(0,15,0)</f>
        <v>0.28125</v>
      </c>
      <c r="C31" s="32" t="s">
        <v>50</v>
      </c>
      <c r="D31" s="32">
        <v>221</v>
      </c>
      <c r="E31" s="31">
        <v>0.291666666666667</v>
      </c>
      <c r="F31" s="34">
        <v>0.33125</v>
      </c>
      <c r="G31" s="31">
        <f t="shared" si="27"/>
        <v>0.039583333333333</v>
      </c>
      <c r="H31" s="32"/>
      <c r="I31" s="18">
        <f t="shared" si="28"/>
        <v>0.018194444444444</v>
      </c>
      <c r="J31" s="32"/>
      <c r="K31" s="32"/>
      <c r="L31" s="39">
        <v>214</v>
      </c>
      <c r="M31" s="31">
        <v>0.349444444444444</v>
      </c>
      <c r="N31" s="31">
        <v>0.418888888888889</v>
      </c>
      <c r="O31" s="31">
        <f t="shared" si="29"/>
        <v>0.069444444444445</v>
      </c>
      <c r="P31" s="32"/>
      <c r="Q31" s="18">
        <f t="shared" si="30"/>
        <v>0.034722222222222</v>
      </c>
      <c r="R31" s="32"/>
      <c r="S31" s="21"/>
      <c r="T31" s="32">
        <v>220</v>
      </c>
      <c r="U31" s="31">
        <v>0.453611111111111</v>
      </c>
      <c r="V31" s="31">
        <v>0.545277777777778</v>
      </c>
      <c r="W31" s="31">
        <f t="shared" si="33"/>
        <v>0.091666666666667</v>
      </c>
      <c r="X31" s="55" t="s">
        <v>51</v>
      </c>
      <c r="Y31" s="18">
        <v>0.614583333333333</v>
      </c>
      <c r="Z31" s="17" t="s">
        <v>19</v>
      </c>
      <c r="AA31" s="35">
        <v>122</v>
      </c>
      <c r="AB31" s="23">
        <f t="shared" si="31"/>
        <v>0.333333333333333</v>
      </c>
      <c r="AC31" s="36">
        <f t="shared" si="34"/>
        <v>0.200694444444445</v>
      </c>
      <c r="AD31" s="36">
        <f t="shared" si="32"/>
        <v>0.0529166666666661</v>
      </c>
      <c r="AE31" s="36"/>
      <c r="AF31" s="33">
        <v>23</v>
      </c>
    </row>
    <row r="32" ht="18.75" customHeight="1" spans="1:32">
      <c r="A32" s="17">
        <v>24</v>
      </c>
      <c r="B32" s="18">
        <f t="shared" si="35"/>
        <v>0.28125</v>
      </c>
      <c r="C32" s="32" t="s">
        <v>32</v>
      </c>
      <c r="D32" s="39">
        <v>222</v>
      </c>
      <c r="E32" s="31">
        <v>0.291666666666667</v>
      </c>
      <c r="F32" s="31">
        <v>0.391111111111111</v>
      </c>
      <c r="G32" s="31">
        <f t="shared" si="27"/>
        <v>0.099444444444444</v>
      </c>
      <c r="H32" s="32"/>
      <c r="I32" s="18">
        <f t="shared" si="28"/>
        <v>0.024305555555556</v>
      </c>
      <c r="J32" s="59"/>
      <c r="K32" s="59"/>
      <c r="L32" s="32">
        <v>209</v>
      </c>
      <c r="M32" s="31">
        <v>0.415416666666667</v>
      </c>
      <c r="N32" s="31">
        <v>0.508472222222222</v>
      </c>
      <c r="O32" s="31">
        <f t="shared" si="29"/>
        <v>0.093055555555555</v>
      </c>
      <c r="P32" s="32"/>
      <c r="Q32" s="18">
        <f t="shared" si="30"/>
        <v>0.014444444444445</v>
      </c>
      <c r="R32" s="59"/>
      <c r="S32" s="59"/>
      <c r="T32" s="32">
        <v>211</v>
      </c>
      <c r="U32" s="31">
        <v>0.522916666666667</v>
      </c>
      <c r="V32" s="34">
        <v>0.546527777777778</v>
      </c>
      <c r="W32" s="31">
        <f t="shared" si="33"/>
        <v>0.0236111111111109</v>
      </c>
      <c r="X32" s="55"/>
      <c r="Y32" s="18">
        <v>0.614583333333333</v>
      </c>
      <c r="Z32" s="17" t="s">
        <v>19</v>
      </c>
      <c r="AA32" s="32">
        <v>139</v>
      </c>
      <c r="AB32" s="23">
        <f t="shared" si="31"/>
        <v>0.333333333333333</v>
      </c>
      <c r="AC32" s="36">
        <f t="shared" si="34"/>
        <v>0.21611111111111</v>
      </c>
      <c r="AD32" s="36">
        <f t="shared" si="32"/>
        <v>0.038750000000001</v>
      </c>
      <c r="AE32" s="40"/>
      <c r="AF32" s="33">
        <v>24</v>
      </c>
    </row>
    <row r="33" ht="18.75" customHeight="1" spans="1:44">
      <c r="A33" s="17"/>
      <c r="B33" s="18"/>
      <c r="C33" s="32"/>
      <c r="D33" s="39"/>
      <c r="E33" s="31"/>
      <c r="F33" s="31"/>
      <c r="G33" s="31"/>
      <c r="H33" s="32"/>
      <c r="I33" s="18"/>
      <c r="J33" s="59"/>
      <c r="K33" s="59"/>
      <c r="L33" s="32"/>
      <c r="M33" s="31"/>
      <c r="N33" s="31"/>
      <c r="O33" s="31"/>
      <c r="P33" s="32"/>
      <c r="Q33" s="45">
        <f>U33-V32</f>
        <v>0.037638888888888</v>
      </c>
      <c r="R33" s="59"/>
      <c r="T33" s="32">
        <v>221</v>
      </c>
      <c r="U33" s="31">
        <v>0.584166666666666</v>
      </c>
      <c r="V33" s="34">
        <v>0.607638888888889</v>
      </c>
      <c r="W33" s="31">
        <f t="shared" si="33"/>
        <v>0.023472222222223</v>
      </c>
      <c r="X33" s="55"/>
      <c r="Y33" s="18"/>
      <c r="Z33" s="17"/>
      <c r="AA33" s="62">
        <f>45+68+24</f>
        <v>137</v>
      </c>
      <c r="AB33" s="23"/>
      <c r="AC33" s="36"/>
      <c r="AD33" s="36"/>
      <c r="AE33" s="40"/>
      <c r="AF33" s="33"/>
    </row>
    <row r="34" ht="18.75" customHeight="1" spans="1:44">
      <c r="A34" s="17">
        <v>25</v>
      </c>
      <c r="B34" s="18">
        <f t="shared" si="35"/>
        <v>0.288194444444444</v>
      </c>
      <c r="C34" s="32" t="s">
        <v>32</v>
      </c>
      <c r="D34" s="39">
        <v>223</v>
      </c>
      <c r="E34" s="31">
        <v>0.298611111111111</v>
      </c>
      <c r="F34" s="31">
        <v>0.398055555555555</v>
      </c>
      <c r="G34" s="31">
        <f t="shared" ref="G34:G42" si="36">MOD(F34-E34,1)</f>
        <v>0.099444444444444</v>
      </c>
      <c r="H34" s="32"/>
      <c r="I34" s="18">
        <f t="shared" ref="I34:I42" si="37">M34-F34</f>
        <v>0.024305555555556</v>
      </c>
      <c r="J34" s="32"/>
      <c r="K34" s="32"/>
      <c r="L34" s="32">
        <v>210</v>
      </c>
      <c r="M34" s="31">
        <v>0.422361111111111</v>
      </c>
      <c r="N34" s="31">
        <v>0.512638888888889</v>
      </c>
      <c r="O34" s="31">
        <f t="shared" ref="O34:O42" si="38">MOD(N34-M34,1)</f>
        <v>0.090277777777778</v>
      </c>
      <c r="P34" s="32"/>
      <c r="Q34" s="18">
        <f t="shared" ref="Q34:Q42" si="39">U34-N34</f>
        <v>0.027083333333333</v>
      </c>
      <c r="R34" s="32"/>
      <c r="S34" s="32"/>
      <c r="T34" s="32">
        <v>219</v>
      </c>
      <c r="U34" s="31">
        <v>0.539722222222222</v>
      </c>
      <c r="V34" s="34">
        <v>0.575694444444444</v>
      </c>
      <c r="W34" s="31">
        <f t="shared" si="33"/>
        <v>0.035972222222222</v>
      </c>
      <c r="X34" s="32" t="s">
        <v>24</v>
      </c>
      <c r="Y34" s="18">
        <v>0.579861111111111</v>
      </c>
      <c r="Z34" s="17" t="s">
        <v>52</v>
      </c>
      <c r="AA34" s="63"/>
      <c r="AB34" s="23">
        <f t="shared" ref="AB34:AB42" si="40">MOD((Y34-B34),1)</f>
        <v>0.291666666666667</v>
      </c>
      <c r="AC34" s="36">
        <f t="shared" ref="AC34:AC42" si="41">G34+O34+W34</f>
        <v>0.225694444444444</v>
      </c>
      <c r="AD34" s="36">
        <f t="shared" ref="AD34:AD42" si="42">I34+Q34</f>
        <v>0.051388888888889</v>
      </c>
      <c r="AE34" s="40"/>
      <c r="AF34" s="33">
        <v>25</v>
      </c>
    </row>
    <row r="35" s="5" customFormat="1" ht="19.5" customHeight="1" spans="1:44">
      <c r="A35" s="64"/>
      <c r="B35" s="65"/>
      <c r="C35" s="64"/>
      <c r="D35" s="64"/>
      <c r="E35" s="65"/>
      <c r="F35" s="65"/>
      <c r="G35" s="65"/>
      <c r="H35" s="64"/>
      <c r="I35" s="65"/>
      <c r="J35" s="64"/>
      <c r="K35" s="64"/>
      <c r="L35" s="64"/>
      <c r="M35" s="65"/>
      <c r="N35" s="65"/>
      <c r="O35" s="65"/>
      <c r="P35" s="64"/>
      <c r="Q35" s="65"/>
      <c r="R35" s="64"/>
      <c r="S35" s="64"/>
      <c r="T35" s="64"/>
      <c r="U35" s="65"/>
      <c r="V35" s="65"/>
      <c r="W35" s="65"/>
      <c r="X35" s="64"/>
      <c r="Y35" s="65"/>
      <c r="Z35" s="64"/>
      <c r="AA35" s="44"/>
      <c r="AB35" s="66"/>
      <c r="AC35" s="66"/>
      <c r="AD35" s="66"/>
      <c r="AE35" s="66"/>
      <c r="AF35" s="6"/>
    </row>
    <row r="36" ht="18.75" customHeight="1" spans="1:44">
      <c r="A36" s="17">
        <v>26</v>
      </c>
      <c r="B36" s="18">
        <f>E36-TIME(0,15,0)</f>
        <v>0.305555555555555</v>
      </c>
      <c r="C36" s="17" t="s">
        <v>31</v>
      </c>
      <c r="D36" s="32">
        <v>205</v>
      </c>
      <c r="E36" s="34">
        <v>0.315972222222222</v>
      </c>
      <c r="F36" s="31">
        <v>0.387638888888889</v>
      </c>
      <c r="G36" s="31">
        <f t="shared" si="36"/>
        <v>0.071666666666667</v>
      </c>
      <c r="H36" s="32"/>
      <c r="I36" s="18">
        <f t="shared" si="37"/>
        <v>0.024305555555555</v>
      </c>
      <c r="J36" s="32"/>
      <c r="K36" s="32"/>
      <c r="L36" s="39">
        <v>213</v>
      </c>
      <c r="M36" s="31">
        <v>0.411944444444444</v>
      </c>
      <c r="N36" s="31">
        <v>0.482083333333333</v>
      </c>
      <c r="O36" s="31">
        <f t="shared" si="38"/>
        <v>0.070138888888889</v>
      </c>
      <c r="P36" s="32"/>
      <c r="Q36" s="18">
        <f t="shared" si="39"/>
        <v>0.0465277777777781</v>
      </c>
      <c r="R36" s="32"/>
      <c r="S36" s="21"/>
      <c r="T36" s="32">
        <v>201</v>
      </c>
      <c r="U36" s="31">
        <v>0.528611111111111</v>
      </c>
      <c r="V36" s="31">
        <v>0.623055555555555</v>
      </c>
      <c r="W36" s="31">
        <f t="shared" ref="W36:W42" si="43">MOD(V36-U36,1)</f>
        <v>0.094444444444444</v>
      </c>
      <c r="X36" s="32"/>
      <c r="Y36" s="18">
        <v>0.628472222222222</v>
      </c>
      <c r="Z36" s="17" t="s">
        <v>19</v>
      </c>
      <c r="AA36" s="32">
        <v>173</v>
      </c>
      <c r="AB36" s="23">
        <f t="shared" si="40"/>
        <v>0.322916666666667</v>
      </c>
      <c r="AC36" s="36">
        <f t="shared" si="41"/>
        <v>0.23625</v>
      </c>
      <c r="AD36" s="36">
        <f t="shared" si="42"/>
        <v>0.0708333333333331</v>
      </c>
      <c r="AE36" s="40"/>
      <c r="AF36" s="41" t="s">
        <v>53</v>
      </c>
    </row>
    <row r="37" ht="18.75" customHeight="1" spans="1:44">
      <c r="A37" s="17">
        <v>27</v>
      </c>
      <c r="B37" s="18">
        <f>E37-TIME(0,15,0)</f>
        <v>0.3125</v>
      </c>
      <c r="C37" s="17" t="s">
        <v>31</v>
      </c>
      <c r="D37" s="32">
        <v>207</v>
      </c>
      <c r="E37" s="34">
        <v>0.322916666666667</v>
      </c>
      <c r="F37" s="31">
        <v>0.394583333333333</v>
      </c>
      <c r="G37" s="31">
        <f t="shared" si="36"/>
        <v>0.071666666666666</v>
      </c>
      <c r="H37" s="32"/>
      <c r="I37" s="18">
        <f t="shared" si="37"/>
        <v>0.024305555555556</v>
      </c>
      <c r="J37" s="32"/>
      <c r="K37" s="32"/>
      <c r="L37" s="39">
        <v>214</v>
      </c>
      <c r="M37" s="31">
        <v>0.418888888888889</v>
      </c>
      <c r="N37" s="31">
        <v>0.502916666666667</v>
      </c>
      <c r="O37" s="31">
        <f t="shared" si="38"/>
        <v>0.084027777777778</v>
      </c>
      <c r="P37" s="32"/>
      <c r="Q37" s="18">
        <f t="shared" si="39"/>
        <v>0.0422222222222219</v>
      </c>
      <c r="R37" s="32"/>
      <c r="S37" s="31" t="s">
        <v>31</v>
      </c>
      <c r="T37" s="32">
        <v>211</v>
      </c>
      <c r="U37" s="34">
        <v>0.545138888888889</v>
      </c>
      <c r="V37" s="31">
        <v>0.617499999999999</v>
      </c>
      <c r="W37" s="31">
        <f t="shared" si="43"/>
        <v>0.0723611111111101</v>
      </c>
      <c r="X37" s="32"/>
      <c r="Y37" s="18">
        <v>0.621527777777778</v>
      </c>
      <c r="Z37" s="17" t="s">
        <v>19</v>
      </c>
      <c r="AA37" s="32">
        <v>167</v>
      </c>
      <c r="AB37" s="23">
        <f t="shared" si="40"/>
        <v>0.309027777777778</v>
      </c>
      <c r="AC37" s="36">
        <f>G37+O37+W29</f>
        <v>0.227916666666667</v>
      </c>
      <c r="AD37" s="36">
        <f t="shared" si="42"/>
        <v>0.0665277777777779</v>
      </c>
      <c r="AE37" s="40"/>
      <c r="AF37" s="41" t="s">
        <v>54</v>
      </c>
    </row>
    <row r="38" ht="18.75" customHeight="1" spans="1:44">
      <c r="A38" s="17">
        <v>28</v>
      </c>
      <c r="B38" s="18">
        <v>0.315972222222222</v>
      </c>
      <c r="C38" s="17" t="s">
        <v>19</v>
      </c>
      <c r="D38" s="32">
        <v>209</v>
      </c>
      <c r="E38" s="31">
        <v>0.325138888888889</v>
      </c>
      <c r="F38" s="31">
        <v>0.415416666666667</v>
      </c>
      <c r="G38" s="31">
        <f t="shared" si="36"/>
        <v>0.090277777777778</v>
      </c>
      <c r="H38" s="32"/>
      <c r="I38" s="18">
        <f t="shared" si="37"/>
        <v>0.031249999999999</v>
      </c>
      <c r="J38" s="32"/>
      <c r="K38" s="32"/>
      <c r="L38" s="39">
        <v>219</v>
      </c>
      <c r="M38" s="31">
        <v>0.446666666666666</v>
      </c>
      <c r="N38" s="31">
        <v>0.539722222222222</v>
      </c>
      <c r="O38" s="31">
        <f t="shared" si="38"/>
        <v>0.093055555555556</v>
      </c>
      <c r="P38" s="32"/>
      <c r="Q38" s="18">
        <f t="shared" si="39"/>
        <v>0.033194444444445</v>
      </c>
      <c r="R38" s="32"/>
      <c r="S38" s="32" t="s">
        <v>31</v>
      </c>
      <c r="T38" s="32">
        <v>203</v>
      </c>
      <c r="U38" s="34">
        <v>0.572916666666667</v>
      </c>
      <c r="V38" s="31">
        <v>0.645277777777777</v>
      </c>
      <c r="W38" s="31">
        <f t="shared" si="43"/>
        <v>0.07236111111111</v>
      </c>
      <c r="X38" s="32"/>
      <c r="Y38" s="18">
        <v>0.649305555555556</v>
      </c>
      <c r="Z38" s="17" t="s">
        <v>19</v>
      </c>
      <c r="AA38" s="32">
        <v>191</v>
      </c>
      <c r="AB38" s="23">
        <f t="shared" si="40"/>
        <v>0.333333333333334</v>
      </c>
      <c r="AC38" s="36">
        <f t="shared" si="41"/>
        <v>0.255694444444444</v>
      </c>
      <c r="AD38" s="36">
        <f t="shared" si="42"/>
        <v>0.064444444444444</v>
      </c>
      <c r="AE38" s="40"/>
      <c r="AF38" s="41" t="s">
        <v>55</v>
      </c>
    </row>
    <row r="39" ht="18.75" customHeight="1" spans="1:44">
      <c r="A39" s="17">
        <v>29</v>
      </c>
      <c r="B39" s="18">
        <v>0.322916666666667</v>
      </c>
      <c r="C39" s="17" t="s">
        <v>19</v>
      </c>
      <c r="D39" s="32">
        <v>210</v>
      </c>
      <c r="E39" s="31">
        <v>0.332083333333333</v>
      </c>
      <c r="F39" s="31">
        <v>0.422361111111111</v>
      </c>
      <c r="G39" s="31">
        <f t="shared" si="36"/>
        <v>0.090277777777778</v>
      </c>
      <c r="H39" s="32"/>
      <c r="I39" s="18">
        <f t="shared" si="37"/>
        <v>0.034722222222227</v>
      </c>
      <c r="J39" s="59"/>
      <c r="K39" s="59"/>
      <c r="L39" s="32">
        <v>203</v>
      </c>
      <c r="M39" s="31">
        <v>0.457083333333338</v>
      </c>
      <c r="N39" s="31">
        <v>0.550833333333333</v>
      </c>
      <c r="O39" s="31">
        <f t="shared" si="38"/>
        <v>0.0937499999999949</v>
      </c>
      <c r="P39" s="32"/>
      <c r="Q39" s="18">
        <f t="shared" si="39"/>
        <v>0.0276388888888891</v>
      </c>
      <c r="R39" s="59"/>
      <c r="S39" s="31" t="s">
        <v>31</v>
      </c>
      <c r="T39" s="32">
        <v>204</v>
      </c>
      <c r="U39" s="34">
        <v>0.578472222222222</v>
      </c>
      <c r="V39" s="31">
        <v>0.650694444444444</v>
      </c>
      <c r="W39" s="31">
        <f t="shared" si="43"/>
        <v>0.072222222222222</v>
      </c>
      <c r="X39" s="32"/>
      <c r="Y39" s="18">
        <v>0.65625</v>
      </c>
      <c r="Z39" s="17" t="s">
        <v>19</v>
      </c>
      <c r="AA39" s="32">
        <v>191</v>
      </c>
      <c r="AB39" s="23">
        <f t="shared" si="40"/>
        <v>0.333333333333333</v>
      </c>
      <c r="AC39" s="36">
        <f t="shared" si="41"/>
        <v>0.256249999999995</v>
      </c>
      <c r="AD39" s="36">
        <f t="shared" si="42"/>
        <v>0.0623611111111161</v>
      </c>
      <c r="AE39" s="40"/>
      <c r="AF39" s="41" t="s">
        <v>56</v>
      </c>
    </row>
    <row r="40" ht="18.75" customHeight="1" spans="1:44">
      <c r="A40" s="17">
        <v>30</v>
      </c>
      <c r="B40" s="18">
        <v>0.326388888888889</v>
      </c>
      <c r="C40" s="17" t="s">
        <v>19</v>
      </c>
      <c r="D40" s="39">
        <v>212</v>
      </c>
      <c r="E40" s="31">
        <v>0.335555555555555</v>
      </c>
      <c r="F40" s="31">
        <v>0.405</v>
      </c>
      <c r="G40" s="31">
        <f t="shared" si="36"/>
        <v>0.069444444444445</v>
      </c>
      <c r="H40" s="32"/>
      <c r="I40" s="18">
        <f t="shared" si="37"/>
        <v>0.024305555555556</v>
      </c>
      <c r="J40" s="32"/>
      <c r="K40" s="32"/>
      <c r="L40" s="32">
        <v>211</v>
      </c>
      <c r="M40" s="31">
        <v>0.429305555555556</v>
      </c>
      <c r="N40" s="31">
        <v>0.523055555555555</v>
      </c>
      <c r="O40" s="31">
        <f t="shared" si="38"/>
        <v>0.0937499999999991</v>
      </c>
      <c r="P40" s="32"/>
      <c r="Q40" s="18">
        <f t="shared" si="39"/>
        <v>0.0443055555555559</v>
      </c>
      <c r="R40" s="32"/>
      <c r="S40" s="32" t="s">
        <v>31</v>
      </c>
      <c r="T40" s="32">
        <v>220</v>
      </c>
      <c r="U40" s="34">
        <v>0.567361111111111</v>
      </c>
      <c r="V40" s="31">
        <v>0.639722222222222</v>
      </c>
      <c r="W40" s="31">
        <f t="shared" si="43"/>
        <v>0.072361111111111</v>
      </c>
      <c r="X40" s="32"/>
      <c r="Y40" s="18">
        <v>0.645833333333333</v>
      </c>
      <c r="Z40" s="17" t="s">
        <v>19</v>
      </c>
      <c r="AA40" s="32">
        <v>173</v>
      </c>
      <c r="AB40" s="23">
        <f t="shared" si="40"/>
        <v>0.319444444444444</v>
      </c>
      <c r="AC40" s="36">
        <f t="shared" si="41"/>
        <v>0.235555555555555</v>
      </c>
      <c r="AD40" s="36">
        <f t="shared" si="42"/>
        <v>0.0686111111111119</v>
      </c>
      <c r="AE40" s="40"/>
      <c r="AF40" s="41" t="s">
        <v>57</v>
      </c>
    </row>
    <row r="41" ht="18.75" customHeight="1" spans="1:44">
      <c r="A41" s="17">
        <v>31</v>
      </c>
      <c r="B41" s="18">
        <v>0.329861111111111</v>
      </c>
      <c r="C41" s="17" t="s">
        <v>19</v>
      </c>
      <c r="D41" s="32">
        <v>211</v>
      </c>
      <c r="E41" s="31">
        <v>0.339027777777778</v>
      </c>
      <c r="F41" s="31">
        <v>0.429305555555556</v>
      </c>
      <c r="G41" s="31">
        <f t="shared" si="36"/>
        <v>0.090277777777778</v>
      </c>
      <c r="H41" s="32"/>
      <c r="I41" s="18">
        <f t="shared" si="37"/>
        <v>0.041666666666673</v>
      </c>
      <c r="J41" s="59"/>
      <c r="K41" s="59"/>
      <c r="L41" s="32">
        <v>217</v>
      </c>
      <c r="M41" s="31">
        <v>0.470972222222229</v>
      </c>
      <c r="N41" s="31">
        <v>0.561944444444444</v>
      </c>
      <c r="O41" s="31">
        <f t="shared" si="38"/>
        <v>0.090972222222215</v>
      </c>
      <c r="P41" s="59"/>
      <c r="Q41" s="18">
        <f t="shared" si="39"/>
        <v>0.022083333333334</v>
      </c>
      <c r="R41" s="59"/>
      <c r="S41" s="31" t="s">
        <v>31</v>
      </c>
      <c r="T41" s="32">
        <v>217</v>
      </c>
      <c r="U41" s="34">
        <v>0.584027777777778</v>
      </c>
      <c r="V41" s="31">
        <v>0.656388888888889</v>
      </c>
      <c r="W41" s="31">
        <f t="shared" si="43"/>
        <v>0.072361111111111</v>
      </c>
      <c r="X41" s="59"/>
      <c r="Y41" s="18">
        <v>0.659722222222222</v>
      </c>
      <c r="Z41" s="17" t="s">
        <v>19</v>
      </c>
      <c r="AA41" s="32">
        <v>191</v>
      </c>
      <c r="AB41" s="23">
        <f t="shared" si="40"/>
        <v>0.329861111111111</v>
      </c>
      <c r="AC41" s="36">
        <f t="shared" si="41"/>
        <v>0.253611111111104</v>
      </c>
      <c r="AD41" s="36">
        <f t="shared" si="42"/>
        <v>0.063750000000007</v>
      </c>
      <c r="AE41" s="40"/>
      <c r="AF41" s="41" t="s">
        <v>58</v>
      </c>
    </row>
    <row r="42" ht="18.75" customHeight="1" spans="1:44">
      <c r="A42" s="17">
        <v>32</v>
      </c>
      <c r="B42" s="18">
        <v>0.333333333333333</v>
      </c>
      <c r="C42" s="17" t="s">
        <v>19</v>
      </c>
      <c r="D42" s="39">
        <v>213</v>
      </c>
      <c r="E42" s="31">
        <v>0.3425</v>
      </c>
      <c r="F42" s="31">
        <v>0.411944444444444</v>
      </c>
      <c r="G42" s="31">
        <f t="shared" si="36"/>
        <v>0.069444444444444</v>
      </c>
      <c r="H42" s="32"/>
      <c r="I42" s="18">
        <f t="shared" si="37"/>
        <v>0.031250000000004</v>
      </c>
      <c r="J42" s="59"/>
      <c r="K42" s="59"/>
      <c r="L42" s="32">
        <v>206</v>
      </c>
      <c r="M42" s="31">
        <v>0.443194444444448</v>
      </c>
      <c r="N42" s="31">
        <v>0.534166666666666</v>
      </c>
      <c r="O42" s="31">
        <f t="shared" si="38"/>
        <v>0.090972222222218</v>
      </c>
      <c r="P42" s="59"/>
      <c r="Q42" s="18">
        <f t="shared" si="39"/>
        <v>0.033333333333334</v>
      </c>
      <c r="R42" s="59"/>
      <c r="S42" s="59"/>
      <c r="T42" s="32">
        <v>212</v>
      </c>
      <c r="U42" s="31">
        <v>0.5675</v>
      </c>
      <c r="V42" s="31">
        <v>0.661944444444444</v>
      </c>
      <c r="W42" s="31">
        <f t="shared" si="43"/>
        <v>0.094444444444444</v>
      </c>
      <c r="X42" s="59"/>
      <c r="Y42" s="18">
        <v>0.666666666666667</v>
      </c>
      <c r="Z42" s="17" t="s">
        <v>19</v>
      </c>
      <c r="AA42" s="32">
        <v>186</v>
      </c>
      <c r="AB42" s="23">
        <f t="shared" si="40"/>
        <v>0.333333333333334</v>
      </c>
      <c r="AC42" s="36">
        <f t="shared" si="41"/>
        <v>0.254861111111106</v>
      </c>
      <c r="AD42" s="36">
        <f t="shared" si="42"/>
        <v>0.064583333333338</v>
      </c>
      <c r="AE42" s="40"/>
      <c r="AF42" s="41" t="s">
        <v>59</v>
      </c>
    </row>
    <row r="43" s="5" customFormat="1" ht="18.75" customHeight="1" spans="1:44">
      <c r="A43" s="48"/>
      <c r="B43" s="49"/>
      <c r="C43" s="48"/>
      <c r="D43" s="51"/>
      <c r="E43" s="52"/>
      <c r="F43" s="52"/>
      <c r="G43" s="52"/>
      <c r="H43" s="50"/>
      <c r="I43" s="49"/>
      <c r="J43" s="60"/>
      <c r="K43" s="60"/>
      <c r="L43" s="50"/>
      <c r="M43" s="52"/>
      <c r="N43" s="52"/>
      <c r="O43" s="52"/>
      <c r="P43" s="60"/>
      <c r="Q43" s="49"/>
      <c r="R43" s="60"/>
      <c r="S43" s="64"/>
      <c r="T43" s="64"/>
      <c r="U43" s="65"/>
      <c r="V43" s="65"/>
      <c r="W43" s="65"/>
      <c r="X43" s="60"/>
      <c r="Y43" s="49"/>
      <c r="Z43" s="48"/>
      <c r="AA43" s="32"/>
      <c r="AB43" s="53"/>
      <c r="AC43" s="49"/>
      <c r="AD43" s="49"/>
      <c r="AE43" s="52"/>
      <c r="AF43" s="50"/>
    </row>
    <row r="44" s="2" customFormat="1" ht="18.75" customHeight="1" spans="1:44">
      <c r="A44" s="43">
        <v>33</v>
      </c>
      <c r="B44" s="18">
        <v>0.524305555555556</v>
      </c>
      <c r="C44" s="17" t="s">
        <v>19</v>
      </c>
      <c r="D44" s="32">
        <v>206</v>
      </c>
      <c r="E44" s="31">
        <v>0.534166666666666</v>
      </c>
      <c r="F44" s="34">
        <v>0.557638888888889</v>
      </c>
      <c r="G44" s="31">
        <f>MOD(F44-E44,1)</f>
        <v>0.023472222222223</v>
      </c>
      <c r="H44" s="44"/>
      <c r="I44" s="18">
        <f>M44-F44</f>
        <v>0.0209722222222219</v>
      </c>
      <c r="J44" s="44"/>
      <c r="K44" s="44"/>
      <c r="L44" s="32">
        <v>207</v>
      </c>
      <c r="M44" s="31">
        <v>0.578611111111111</v>
      </c>
      <c r="N44" s="31">
        <v>0.672361111111111</v>
      </c>
      <c r="O44" s="31">
        <f>MOD(N44-M44,1)</f>
        <v>0.09375</v>
      </c>
      <c r="P44" s="32"/>
      <c r="Q44" s="18">
        <f t="shared" ref="Q44:Q53" si="44">U44-N44</f>
        <v>0.034027777777777</v>
      </c>
      <c r="R44" s="32"/>
      <c r="S44" s="32"/>
      <c r="T44" s="32">
        <v>215</v>
      </c>
      <c r="U44" s="31">
        <v>0.706388888888888</v>
      </c>
      <c r="V44" s="31">
        <v>0.796666666666668</v>
      </c>
      <c r="W44" s="31">
        <f t="shared" ref="W44:W46" si="45">MOD(V44-U44,1)</f>
        <v>0.09027777777778</v>
      </c>
      <c r="X44" s="44"/>
      <c r="Y44" s="18">
        <v>0.857638888888889</v>
      </c>
      <c r="Z44" s="17" t="s">
        <v>34</v>
      </c>
      <c r="AA44" s="32">
        <f>13+68+68+2</f>
        <v>151</v>
      </c>
      <c r="AB44" s="23">
        <f t="shared" ref="AB44:AB54" si="46">MOD((Y44-B44),1)</f>
        <v>0.333333333333333</v>
      </c>
      <c r="AC44" s="36">
        <f>G44+O44+W44+W45</f>
        <v>0.244166666666671</v>
      </c>
      <c r="AD44" s="36">
        <f>I44+Q44+Q45</f>
        <v>0.07583333333333</v>
      </c>
      <c r="AE44" s="40"/>
      <c r="AF44" s="33">
        <v>33</v>
      </c>
      <c r="AO44" s="26"/>
      <c r="AP44" s="26"/>
      <c r="AQ44" s="26"/>
      <c r="AR44" s="26"/>
    </row>
    <row r="45" s="2" customFormat="1" ht="18.75" customHeight="1" spans="1:44">
      <c r="A45" s="43"/>
      <c r="B45" s="18"/>
      <c r="C45" s="17"/>
      <c r="D45" s="32"/>
      <c r="E45" s="31"/>
      <c r="F45" s="31"/>
      <c r="G45" s="31"/>
      <c r="H45" s="32"/>
      <c r="I45" s="18"/>
      <c r="J45" s="32"/>
      <c r="K45" s="32"/>
      <c r="L45" s="32"/>
      <c r="M45" s="31"/>
      <c r="N45" s="31"/>
      <c r="O45" s="31"/>
      <c r="P45" s="32"/>
      <c r="Q45" s="18">
        <f>U45-V44</f>
        <v>0.020833333333331</v>
      </c>
      <c r="R45" s="32"/>
      <c r="S45" s="32"/>
      <c r="T45" s="32">
        <v>219</v>
      </c>
      <c r="U45" s="31">
        <v>0.817499999999999</v>
      </c>
      <c r="V45" s="31">
        <v>0.854166666666667</v>
      </c>
      <c r="W45" s="31">
        <f t="shared" si="45"/>
        <v>0.036666666666668</v>
      </c>
      <c r="X45" s="32" t="s">
        <v>27</v>
      </c>
      <c r="Y45" s="18"/>
      <c r="Z45" s="17"/>
      <c r="AA45" s="32"/>
      <c r="AB45" s="23"/>
      <c r="AC45" s="36"/>
      <c r="AD45" s="36"/>
      <c r="AE45" s="40"/>
      <c r="AF45" s="33"/>
      <c r="AO45" s="26"/>
      <c r="AP45" s="26"/>
      <c r="AQ45" s="26"/>
      <c r="AR45" s="26"/>
    </row>
    <row r="46" ht="18.75" customHeight="1" spans="1:44">
      <c r="A46" s="17">
        <v>34</v>
      </c>
      <c r="B46" s="18">
        <v>0.5625</v>
      </c>
      <c r="C46" s="32" t="s">
        <v>24</v>
      </c>
      <c r="D46" s="32">
        <v>219</v>
      </c>
      <c r="E46" s="34">
        <v>0.574305555555556</v>
      </c>
      <c r="F46" s="31">
        <v>0.634027777777778</v>
      </c>
      <c r="G46" s="31">
        <f>MOD(F46-E46,1)</f>
        <v>0.059722222222222</v>
      </c>
      <c r="H46" s="44"/>
      <c r="I46" s="18">
        <f>M46-F46</f>
        <v>0.0223611111111111</v>
      </c>
      <c r="J46" s="44"/>
      <c r="K46" s="44"/>
      <c r="L46" s="39">
        <v>217</v>
      </c>
      <c r="M46" s="31">
        <v>0.656388888888889</v>
      </c>
      <c r="N46" s="31">
        <v>0.736944444444444</v>
      </c>
      <c r="O46" s="31">
        <f>MOD(N46-M46,1)</f>
        <v>0.0805555555555549</v>
      </c>
      <c r="P46" s="32"/>
      <c r="Q46" s="18">
        <f t="shared" si="44"/>
        <v>0.021527777777778</v>
      </c>
      <c r="R46" s="32"/>
      <c r="S46" s="32"/>
      <c r="T46" s="39">
        <v>222</v>
      </c>
      <c r="U46" s="31">
        <v>0.758472222222222</v>
      </c>
      <c r="V46" s="31">
        <v>0.861111111111111</v>
      </c>
      <c r="W46" s="31">
        <f t="shared" si="45"/>
        <v>0.102638888888889</v>
      </c>
      <c r="X46" s="32" t="s">
        <v>27</v>
      </c>
      <c r="Y46" s="18">
        <v>0.868055555555555</v>
      </c>
      <c r="Z46" s="17" t="s">
        <v>34</v>
      </c>
      <c r="AA46" s="32">
        <f>44+56+52</f>
        <v>152</v>
      </c>
      <c r="AB46" s="23">
        <f t="shared" si="46"/>
        <v>0.305555555555555</v>
      </c>
      <c r="AC46" s="36">
        <f>G46+O46+W46</f>
        <v>0.242916666666666</v>
      </c>
      <c r="AD46" s="36">
        <f t="shared" ref="AD46:AD53" si="47">I46+Q46</f>
        <v>0.0438888888888891</v>
      </c>
      <c r="AE46" s="40"/>
      <c r="AF46" s="33">
        <v>34</v>
      </c>
    </row>
    <row r="47" ht="18.75" customHeight="1" spans="1:44">
      <c r="A47" s="17">
        <v>35</v>
      </c>
      <c r="B47" s="18">
        <v>0.548611111111111</v>
      </c>
      <c r="C47" s="17" t="s">
        <v>31</v>
      </c>
      <c r="D47" s="67">
        <v>206</v>
      </c>
      <c r="E47" s="34">
        <v>0.557638888888889</v>
      </c>
      <c r="F47" s="31">
        <v>0.628472222222222</v>
      </c>
      <c r="G47" s="34">
        <v>0.0751388888888883</v>
      </c>
      <c r="H47" s="44"/>
      <c r="I47" s="18">
        <v>0.0208333333333334</v>
      </c>
      <c r="J47" s="44"/>
      <c r="K47" s="44"/>
      <c r="L47" s="32">
        <v>212</v>
      </c>
      <c r="M47" s="31">
        <v>0.661944444444444</v>
      </c>
      <c r="N47" s="31">
        <v>0.754999999999999</v>
      </c>
      <c r="O47" s="31">
        <v>0.0930555555555551</v>
      </c>
      <c r="P47" s="32"/>
      <c r="Q47" s="18">
        <f t="shared" si="44"/>
        <v>0.020833333333333</v>
      </c>
      <c r="R47" s="32"/>
      <c r="S47" s="32"/>
      <c r="T47" s="32">
        <v>208</v>
      </c>
      <c r="U47" s="31">
        <v>0.775833333333332</v>
      </c>
      <c r="V47" s="31">
        <v>0.86611111111111</v>
      </c>
      <c r="W47" s="31">
        <v>0.0902777777777775</v>
      </c>
      <c r="X47" s="32"/>
      <c r="Y47" s="18">
        <v>0.871527777777778</v>
      </c>
      <c r="Z47" s="17" t="s">
        <v>19</v>
      </c>
      <c r="AA47" s="32">
        <v>191</v>
      </c>
      <c r="AB47" s="23">
        <f t="shared" si="46"/>
        <v>0.322916666666667</v>
      </c>
      <c r="AC47" s="36">
        <f t="shared" ref="AC47:AC52" si="48">O47+W47</f>
        <v>0.183333333333333</v>
      </c>
      <c r="AD47" s="36">
        <f t="shared" si="47"/>
        <v>0.0416666666666664</v>
      </c>
      <c r="AE47" s="40">
        <f t="shared" ref="AE47:AE52" si="49">G47</f>
        <v>0.0751388888888883</v>
      </c>
      <c r="AF47" s="33" t="s">
        <v>60</v>
      </c>
    </row>
    <row r="48" ht="18.75" customHeight="1" spans="1:44">
      <c r="A48" s="17">
        <v>36</v>
      </c>
      <c r="B48" s="18">
        <f t="shared" ref="B48:B53" si="50">E48-TIME(0,15,0)</f>
        <v>0.555555555555555</v>
      </c>
      <c r="C48" s="17" t="s">
        <v>19</v>
      </c>
      <c r="D48" s="67" t="s">
        <v>47</v>
      </c>
      <c r="E48" s="31">
        <v>0.565972222222222</v>
      </c>
      <c r="F48" s="31">
        <v>0.646666666666667</v>
      </c>
      <c r="G48" s="34">
        <v>0.0806944444444443</v>
      </c>
      <c r="H48" s="44"/>
      <c r="I48" s="18">
        <v>0.0208333333333334</v>
      </c>
      <c r="J48" s="44"/>
      <c r="K48" s="44"/>
      <c r="L48" s="32">
        <v>213</v>
      </c>
      <c r="M48" s="31">
        <v>0.6675</v>
      </c>
      <c r="N48" s="31">
        <v>0.744583333333333</v>
      </c>
      <c r="O48" s="31">
        <v>0.0770833333333327</v>
      </c>
      <c r="P48" s="32"/>
      <c r="Q48" s="18">
        <f t="shared" si="44"/>
        <v>0.0208333333333329</v>
      </c>
      <c r="R48" s="32"/>
      <c r="S48" s="32"/>
      <c r="T48" s="39">
        <v>214</v>
      </c>
      <c r="U48" s="31">
        <v>0.765416666666666</v>
      </c>
      <c r="V48" s="31">
        <v>0.875</v>
      </c>
      <c r="W48" s="31">
        <v>0.109583333333334</v>
      </c>
      <c r="X48" s="32" t="s">
        <v>27</v>
      </c>
      <c r="Y48" s="18">
        <v>0.878472222222222</v>
      </c>
      <c r="Z48" s="17" t="s">
        <v>34</v>
      </c>
      <c r="AA48" s="32">
        <v>108</v>
      </c>
      <c r="AB48" s="23">
        <f t="shared" si="46"/>
        <v>0.322916666666667</v>
      </c>
      <c r="AC48" s="36">
        <f t="shared" si="48"/>
        <v>0.186666666666667</v>
      </c>
      <c r="AD48" s="36">
        <f t="shared" si="47"/>
        <v>0.0416666666666663</v>
      </c>
      <c r="AE48" s="40">
        <f t="shared" si="49"/>
        <v>0.0806944444444443</v>
      </c>
      <c r="AF48" s="33">
        <v>36</v>
      </c>
    </row>
    <row r="49" ht="18.75" customHeight="1" spans="1:44">
      <c r="A49" s="17">
        <v>37</v>
      </c>
      <c r="B49" s="18">
        <f t="shared" si="50"/>
        <v>0.555555555555555</v>
      </c>
      <c r="C49" s="17" t="s">
        <v>19</v>
      </c>
      <c r="D49" s="67" t="s">
        <v>47</v>
      </c>
      <c r="E49" s="31">
        <v>0.565972222222222</v>
      </c>
      <c r="F49" s="31">
        <v>0.651527777777777</v>
      </c>
      <c r="G49" s="34">
        <v>0.0855555555555553</v>
      </c>
      <c r="H49" s="44"/>
      <c r="I49" s="18">
        <v>0.0208333333333334</v>
      </c>
      <c r="J49" s="44"/>
      <c r="K49" s="44"/>
      <c r="L49" s="32">
        <v>207</v>
      </c>
      <c r="M49" s="31">
        <v>0.672361111111111</v>
      </c>
      <c r="N49" s="31">
        <v>0.761944444444443</v>
      </c>
      <c r="O49" s="31">
        <v>0.0895833333333326</v>
      </c>
      <c r="P49" s="32"/>
      <c r="Q49" s="18">
        <f t="shared" si="44"/>
        <v>0.020833333333333</v>
      </c>
      <c r="R49" s="32"/>
      <c r="S49" s="32"/>
      <c r="T49" s="32">
        <v>205</v>
      </c>
      <c r="U49" s="31">
        <v>0.782777777777776</v>
      </c>
      <c r="V49" s="31">
        <v>0.875138888888888</v>
      </c>
      <c r="W49" s="31">
        <v>0.0923611111111118</v>
      </c>
      <c r="X49" s="32"/>
      <c r="Y49" s="18">
        <v>0.878472222222222</v>
      </c>
      <c r="Z49" s="17" t="s">
        <v>19</v>
      </c>
      <c r="AA49" s="32">
        <v>136</v>
      </c>
      <c r="AB49" s="23">
        <f t="shared" si="46"/>
        <v>0.322916666666667</v>
      </c>
      <c r="AC49" s="36">
        <f t="shared" si="48"/>
        <v>0.181944444444444</v>
      </c>
      <c r="AD49" s="36">
        <f t="shared" si="47"/>
        <v>0.0416666666666664</v>
      </c>
      <c r="AE49" s="40">
        <f t="shared" si="49"/>
        <v>0.0855555555555553</v>
      </c>
      <c r="AF49" s="33">
        <v>37</v>
      </c>
    </row>
    <row r="50" ht="18.75" customHeight="1" spans="1:44">
      <c r="A50" s="17">
        <v>38</v>
      </c>
      <c r="B50" s="18">
        <f t="shared" si="50"/>
        <v>0.555555555555555</v>
      </c>
      <c r="C50" s="17" t="s">
        <v>19</v>
      </c>
      <c r="D50" s="67" t="s">
        <v>47</v>
      </c>
      <c r="E50" s="31">
        <v>0.565972222222222</v>
      </c>
      <c r="F50" s="31">
        <v>0.657777777777778</v>
      </c>
      <c r="G50" s="34">
        <v>0.0918055555555554</v>
      </c>
      <c r="H50" s="44"/>
      <c r="I50" s="18">
        <v>0.0208333333333334</v>
      </c>
      <c r="J50" s="44"/>
      <c r="K50" s="44"/>
      <c r="L50" s="32">
        <v>221</v>
      </c>
      <c r="M50" s="31">
        <v>0.678611111111111</v>
      </c>
      <c r="N50" s="31">
        <v>0.768888888888888</v>
      </c>
      <c r="O50" s="31">
        <v>0.090277777777777</v>
      </c>
      <c r="P50" s="32"/>
      <c r="Q50" s="18">
        <f t="shared" si="44"/>
        <v>0.020833333333334</v>
      </c>
      <c r="R50" s="32"/>
      <c r="S50" s="32"/>
      <c r="T50" s="32">
        <v>210</v>
      </c>
      <c r="U50" s="31">
        <v>0.789722222222222</v>
      </c>
      <c r="V50" s="31">
        <v>0.879999999999999</v>
      </c>
      <c r="W50" s="31">
        <v>0.0902777777777766</v>
      </c>
      <c r="X50" s="68"/>
      <c r="Y50" s="18">
        <v>0.881944444444445</v>
      </c>
      <c r="Z50" s="17" t="s">
        <v>19</v>
      </c>
      <c r="AA50" s="32">
        <v>136</v>
      </c>
      <c r="AB50" s="23">
        <f t="shared" si="46"/>
        <v>0.32638888888889</v>
      </c>
      <c r="AC50" s="36">
        <f t="shared" si="48"/>
        <v>0.180555555555554</v>
      </c>
      <c r="AD50" s="36">
        <f t="shared" si="47"/>
        <v>0.0416666666666674</v>
      </c>
      <c r="AE50" s="40">
        <f t="shared" si="49"/>
        <v>0.0918055555555554</v>
      </c>
      <c r="AF50" s="33">
        <v>38</v>
      </c>
    </row>
    <row r="51" ht="18.75" customHeight="1" spans="1:44">
      <c r="A51" s="17">
        <v>39</v>
      </c>
      <c r="B51" s="18">
        <f t="shared" si="50"/>
        <v>0.555555555555555</v>
      </c>
      <c r="C51" s="17" t="s">
        <v>19</v>
      </c>
      <c r="D51" s="67" t="s">
        <v>47</v>
      </c>
      <c r="E51" s="31">
        <v>0.565972222222222</v>
      </c>
      <c r="F51" s="31">
        <v>0.663333333333333</v>
      </c>
      <c r="G51" s="34">
        <v>0.0973611111111103</v>
      </c>
      <c r="H51" s="44"/>
      <c r="I51" s="18">
        <v>0.0208333333333334</v>
      </c>
      <c r="J51" s="44"/>
      <c r="K51" s="44"/>
      <c r="L51" s="32">
        <v>208</v>
      </c>
      <c r="M51" s="31">
        <v>0.684166666666666</v>
      </c>
      <c r="N51" s="31">
        <v>0.775833333333332</v>
      </c>
      <c r="O51" s="31">
        <v>0.0916666666666666</v>
      </c>
      <c r="P51" s="32"/>
      <c r="Q51" s="18">
        <f t="shared" si="44"/>
        <v>0.0208333333333359</v>
      </c>
      <c r="R51" s="32"/>
      <c r="S51" s="32"/>
      <c r="T51" s="32">
        <v>215</v>
      </c>
      <c r="U51" s="31">
        <v>0.796666666666668</v>
      </c>
      <c r="V51" s="31">
        <v>0.886944444444443</v>
      </c>
      <c r="W51" s="31">
        <v>0.090277777777775</v>
      </c>
      <c r="X51" s="32"/>
      <c r="Y51" s="18">
        <v>0.888888888888889</v>
      </c>
      <c r="Z51" s="17" t="s">
        <v>19</v>
      </c>
      <c r="AA51" s="32">
        <v>136</v>
      </c>
      <c r="AB51" s="23">
        <f t="shared" si="46"/>
        <v>0.333333333333334</v>
      </c>
      <c r="AC51" s="36">
        <f t="shared" si="48"/>
        <v>0.181944444444442</v>
      </c>
      <c r="AD51" s="36">
        <f t="shared" si="47"/>
        <v>0.0416666666666693</v>
      </c>
      <c r="AE51" s="40">
        <f t="shared" si="49"/>
        <v>0.0973611111111103</v>
      </c>
      <c r="AF51" s="33">
        <v>39</v>
      </c>
    </row>
    <row r="52" ht="18.75" customHeight="1" spans="1:44">
      <c r="A52" s="17">
        <v>40</v>
      </c>
      <c r="B52" s="18">
        <f t="shared" si="50"/>
        <v>0.565972222222222</v>
      </c>
      <c r="C52" s="17" t="s">
        <v>19</v>
      </c>
      <c r="D52" s="67" t="s">
        <v>47</v>
      </c>
      <c r="E52" s="31">
        <v>0.576388888888889</v>
      </c>
      <c r="F52" s="31">
        <v>0.674444444444444</v>
      </c>
      <c r="G52" s="34">
        <v>0.108472222222221</v>
      </c>
      <c r="H52" s="44"/>
      <c r="I52" s="18">
        <v>0.0208333333333334</v>
      </c>
      <c r="J52" s="44"/>
      <c r="K52" s="44"/>
      <c r="L52" s="32">
        <v>209</v>
      </c>
      <c r="M52" s="31">
        <v>0.695277777777777</v>
      </c>
      <c r="N52" s="31">
        <v>0.77236111111111</v>
      </c>
      <c r="O52" s="31">
        <v>0.0770833333333336</v>
      </c>
      <c r="P52" s="32"/>
      <c r="Q52" s="18">
        <f t="shared" si="44"/>
        <v>0.0208333333333339</v>
      </c>
      <c r="R52" s="32"/>
      <c r="S52" s="32"/>
      <c r="T52" s="39">
        <v>201</v>
      </c>
      <c r="U52" s="31">
        <v>0.793194444444444</v>
      </c>
      <c r="V52" s="31">
        <v>0.899305555555555</v>
      </c>
      <c r="W52" s="31">
        <v>0.106111111111112</v>
      </c>
      <c r="X52" s="69" t="s">
        <v>27</v>
      </c>
      <c r="Y52" s="18">
        <v>0.902777777777778</v>
      </c>
      <c r="Z52" s="17" t="s">
        <v>34</v>
      </c>
      <c r="AA52" s="32">
        <v>108</v>
      </c>
      <c r="AB52" s="23">
        <f t="shared" si="46"/>
        <v>0.336805555555556</v>
      </c>
      <c r="AC52" s="36">
        <f t="shared" si="48"/>
        <v>0.183194444444446</v>
      </c>
      <c r="AD52" s="36">
        <f t="shared" si="47"/>
        <v>0.0416666666666673</v>
      </c>
      <c r="AE52" s="40">
        <f t="shared" si="49"/>
        <v>0.108472222222221</v>
      </c>
      <c r="AF52" s="33">
        <v>40</v>
      </c>
    </row>
    <row r="53" ht="18.75" customHeight="1" spans="1:44">
      <c r="A53" s="17">
        <v>41</v>
      </c>
      <c r="B53" s="18">
        <f t="shared" si="50"/>
        <v>0.579305555555555</v>
      </c>
      <c r="C53" s="17" t="s">
        <v>19</v>
      </c>
      <c r="D53" s="32">
        <v>208</v>
      </c>
      <c r="E53" s="31">
        <v>0.589722222222222</v>
      </c>
      <c r="F53" s="31">
        <v>0.684166666666666</v>
      </c>
      <c r="G53" s="31">
        <f t="shared" ref="G53:G61" si="51">MOD(F53-E53,1)</f>
        <v>0.094444444444444</v>
      </c>
      <c r="H53" s="32"/>
      <c r="I53" s="18">
        <f t="shared" ref="I53:I61" si="52">M53-F53</f>
        <v>0.026944444444445</v>
      </c>
      <c r="J53" s="32"/>
      <c r="K53" s="31" t="s">
        <v>31</v>
      </c>
      <c r="L53" s="32">
        <v>205</v>
      </c>
      <c r="M53" s="34">
        <v>0.711111111111111</v>
      </c>
      <c r="N53" s="31">
        <v>0.782777777777776</v>
      </c>
      <c r="O53" s="31">
        <f t="shared" ref="O53:O61" si="53">MOD(N53-M53,1)</f>
        <v>0.071666666666665</v>
      </c>
      <c r="P53" s="32"/>
      <c r="Q53" s="18">
        <f t="shared" si="44"/>
        <v>0.020833333333334</v>
      </c>
      <c r="R53" s="32"/>
      <c r="S53" s="32"/>
      <c r="T53" s="32">
        <v>211</v>
      </c>
      <c r="U53" s="31">
        <v>0.80361111111111</v>
      </c>
      <c r="V53" s="31">
        <v>0.896527777777778</v>
      </c>
      <c r="W53" s="31">
        <f t="shared" ref="W53:W61" si="54">MOD(V53-U53,1)</f>
        <v>0.092916666666668</v>
      </c>
      <c r="X53" s="69"/>
      <c r="Y53" s="18">
        <v>0.902777777777778</v>
      </c>
      <c r="Z53" s="17" t="s">
        <v>61</v>
      </c>
      <c r="AA53" s="32">
        <v>191</v>
      </c>
      <c r="AB53" s="23">
        <f t="shared" si="46"/>
        <v>0.323472222222223</v>
      </c>
      <c r="AC53" s="36">
        <f t="shared" ref="AC53:AC61" si="55">G53+O53+W53</f>
        <v>0.259027777777777</v>
      </c>
      <c r="AD53" s="36">
        <f t="shared" si="47"/>
        <v>0.047777777777779</v>
      </c>
      <c r="AE53" s="40"/>
      <c r="AF53" s="33" t="s">
        <v>62</v>
      </c>
    </row>
    <row r="54" s="2" customFormat="1" ht="18.75" customHeight="1" spans="1:44">
      <c r="A54" s="17">
        <v>42</v>
      </c>
      <c r="B54" s="29">
        <v>0.572916666666667</v>
      </c>
      <c r="C54" s="17" t="s">
        <v>19</v>
      </c>
      <c r="D54" s="28" t="s">
        <v>22</v>
      </c>
      <c r="E54" s="70"/>
      <c r="F54" s="29"/>
      <c r="G54" s="31"/>
      <c r="H54" s="32"/>
      <c r="I54" s="18"/>
      <c r="J54" s="32"/>
      <c r="K54" s="32"/>
      <c r="L54" s="32"/>
      <c r="M54" s="31"/>
      <c r="N54" s="31"/>
      <c r="O54" s="31"/>
      <c r="P54" s="32"/>
      <c r="Q54" s="31"/>
      <c r="R54" s="32"/>
      <c r="S54" s="32"/>
      <c r="T54" s="28" t="s">
        <v>22</v>
      </c>
      <c r="U54" s="31"/>
      <c r="V54" s="34"/>
      <c r="W54" s="31"/>
      <c r="X54" s="32"/>
      <c r="Y54" s="18">
        <v>0.90625</v>
      </c>
      <c r="Z54" s="32"/>
      <c r="AA54" s="32"/>
      <c r="AB54" s="23">
        <f t="shared" si="46"/>
        <v>0.333333333333333</v>
      </c>
      <c r="AC54" s="33">
        <v>0</v>
      </c>
      <c r="AD54" s="36"/>
      <c r="AE54" s="33"/>
      <c r="AF54" s="33" t="s">
        <v>23</v>
      </c>
      <c r="AO54" s="26"/>
      <c r="AP54" s="26"/>
      <c r="AQ54" s="26"/>
      <c r="AR54" s="26"/>
    </row>
    <row r="55" s="6" customFormat="1" ht="18.75" customHeight="1" spans="1:44">
      <c r="A55" s="48"/>
      <c r="B55" s="71"/>
      <c r="C55" s="48"/>
      <c r="D55" s="72"/>
      <c r="E55" s="73"/>
      <c r="F55" s="71"/>
      <c r="G55" s="52"/>
      <c r="H55" s="50"/>
      <c r="I55" s="49"/>
      <c r="J55" s="50"/>
      <c r="K55" s="50"/>
      <c r="L55" s="50"/>
      <c r="M55" s="52"/>
      <c r="N55" s="52"/>
      <c r="O55" s="52"/>
      <c r="P55" s="50"/>
      <c r="Q55" s="52"/>
      <c r="R55" s="50"/>
      <c r="S55" s="50"/>
      <c r="T55" s="72"/>
      <c r="U55" s="52"/>
      <c r="V55" s="58"/>
      <c r="W55" s="52"/>
      <c r="X55" s="50"/>
      <c r="Y55" s="49"/>
      <c r="Z55" s="50"/>
      <c r="AA55" s="32"/>
      <c r="AB55" s="53"/>
      <c r="AC55" s="50"/>
      <c r="AD55" s="49"/>
      <c r="AE55" s="50"/>
      <c r="AF55" s="50"/>
      <c r="AO55" s="74"/>
      <c r="AP55" s="74"/>
      <c r="AQ55" s="74"/>
      <c r="AR55" s="74"/>
    </row>
    <row r="56" ht="18.75" customHeight="1" spans="1:44">
      <c r="A56" s="17">
        <v>43</v>
      </c>
      <c r="B56" s="18">
        <v>0.583333333333333</v>
      </c>
      <c r="C56" s="17" t="s">
        <v>19</v>
      </c>
      <c r="D56" s="19" t="s">
        <v>63</v>
      </c>
      <c r="E56" s="32"/>
      <c r="F56" s="32"/>
      <c r="G56" s="31"/>
      <c r="H56" s="31"/>
      <c r="I56" s="18"/>
      <c r="J56" s="32"/>
      <c r="K56" s="32"/>
      <c r="L56" s="32"/>
      <c r="M56" s="31"/>
      <c r="N56" s="31"/>
      <c r="O56" s="31"/>
      <c r="P56" s="32"/>
      <c r="Q56" s="31"/>
      <c r="R56" s="32"/>
      <c r="S56" s="59"/>
      <c r="T56" s="19" t="s">
        <v>63</v>
      </c>
      <c r="U56" s="31"/>
      <c r="V56" s="34"/>
      <c r="W56" s="31"/>
      <c r="X56" s="32"/>
      <c r="Y56" s="18">
        <v>0.916666666666667</v>
      </c>
      <c r="Z56" s="32"/>
      <c r="AA56" s="32"/>
      <c r="AB56" s="23">
        <f t="shared" ref="AB56:AB61" si="56">MOD((Y56-B56),1)</f>
        <v>0.333333333333334</v>
      </c>
      <c r="AC56" s="33">
        <v>0</v>
      </c>
      <c r="AD56" s="36"/>
      <c r="AE56" s="33"/>
      <c r="AF56" s="17" t="s">
        <v>64</v>
      </c>
    </row>
    <row r="57" ht="18.75" customHeight="1" spans="1:44">
      <c r="A57" s="17">
        <v>44</v>
      </c>
      <c r="B57" s="18">
        <v>0.583333333333333</v>
      </c>
      <c r="C57" s="32" t="s">
        <v>31</v>
      </c>
      <c r="D57" s="32">
        <v>213</v>
      </c>
      <c r="E57" s="34">
        <v>0.595138888888889</v>
      </c>
      <c r="F57" s="31">
        <v>0.6675</v>
      </c>
      <c r="G57" s="31">
        <f t="shared" si="51"/>
        <v>0.072361111111111</v>
      </c>
      <c r="H57" s="32"/>
      <c r="I57" s="18">
        <f t="shared" si="52"/>
        <v>0.032638888888889</v>
      </c>
      <c r="J57" s="32"/>
      <c r="K57" s="32"/>
      <c r="L57" s="32">
        <v>210</v>
      </c>
      <c r="M57" s="31">
        <v>0.700138888888889</v>
      </c>
      <c r="N57" s="31">
        <v>0.789722222222222</v>
      </c>
      <c r="O57" s="31">
        <f t="shared" si="53"/>
        <v>0.089583333333333</v>
      </c>
      <c r="P57" s="32"/>
      <c r="Q57" s="18">
        <f t="shared" ref="Q57:Q61" si="57">U57-N57</f>
        <v>0.020833333333333</v>
      </c>
      <c r="R57" s="32"/>
      <c r="S57" s="32"/>
      <c r="T57" s="32">
        <v>202</v>
      </c>
      <c r="U57" s="31">
        <v>0.810555555555555</v>
      </c>
      <c r="V57" s="31">
        <v>0.900833333333333</v>
      </c>
      <c r="W57" s="31">
        <f t="shared" si="54"/>
        <v>0.090277777777778</v>
      </c>
      <c r="X57" s="32"/>
      <c r="Y57" s="18">
        <v>0.90625</v>
      </c>
      <c r="Z57" s="17" t="s">
        <v>19</v>
      </c>
      <c r="AA57" s="32">
        <v>191</v>
      </c>
      <c r="AB57" s="23">
        <f t="shared" si="56"/>
        <v>0.322916666666667</v>
      </c>
      <c r="AC57" s="36">
        <f t="shared" si="55"/>
        <v>0.252222222222222</v>
      </c>
      <c r="AD57" s="36">
        <f t="shared" ref="AD57:AD61" si="58">I57+Q57</f>
        <v>0.053472222222222</v>
      </c>
      <c r="AE57" s="40"/>
      <c r="AF57" s="41" t="s">
        <v>65</v>
      </c>
    </row>
    <row r="58" ht="18.75" customHeight="1" spans="1:44">
      <c r="A58" s="17">
        <v>45</v>
      </c>
      <c r="B58" s="18">
        <v>0.583333333333333</v>
      </c>
      <c r="C58" s="17" t="s">
        <v>19</v>
      </c>
      <c r="D58" s="32">
        <v>214</v>
      </c>
      <c r="E58" s="31">
        <v>0.595277777777777</v>
      </c>
      <c r="F58" s="31">
        <v>0.689722222222222</v>
      </c>
      <c r="G58" s="31">
        <f t="shared" si="51"/>
        <v>0.094444444444445</v>
      </c>
      <c r="H58" s="32"/>
      <c r="I58" s="18">
        <f t="shared" si="52"/>
        <v>0.027777777777777</v>
      </c>
      <c r="J58" s="32"/>
      <c r="K58" s="32"/>
      <c r="L58" s="39">
        <v>201</v>
      </c>
      <c r="M58" s="31">
        <v>0.717499999999999</v>
      </c>
      <c r="N58" s="31">
        <v>0.793194444444444</v>
      </c>
      <c r="O58" s="31">
        <f t="shared" si="53"/>
        <v>0.075694444444445</v>
      </c>
      <c r="P58" s="32"/>
      <c r="Q58" s="18">
        <f t="shared" si="57"/>
        <v>0.020833333333333</v>
      </c>
      <c r="R58" s="32"/>
      <c r="S58" s="32"/>
      <c r="T58" s="32">
        <v>213</v>
      </c>
      <c r="U58" s="31">
        <v>0.814027777777777</v>
      </c>
      <c r="V58" s="31">
        <v>0.907083333333332</v>
      </c>
      <c r="W58" s="31">
        <f t="shared" si="54"/>
        <v>0.093055555555555</v>
      </c>
      <c r="X58" s="59"/>
      <c r="Y58" s="18">
        <v>0.909722222222222</v>
      </c>
      <c r="Z58" s="17" t="s">
        <v>19</v>
      </c>
      <c r="AA58" s="32">
        <v>191</v>
      </c>
      <c r="AB58" s="23">
        <f t="shared" si="56"/>
        <v>0.326388888888889</v>
      </c>
      <c r="AC58" s="36">
        <f t="shared" si="55"/>
        <v>0.263194444444445</v>
      </c>
      <c r="AD58" s="36">
        <f t="shared" si="58"/>
        <v>0.0486111111111101</v>
      </c>
      <c r="AE58" s="40"/>
      <c r="AF58" s="41" t="s">
        <v>66</v>
      </c>
    </row>
    <row r="59" ht="18.75" customHeight="1" spans="1:44">
      <c r="A59" s="17">
        <v>46</v>
      </c>
      <c r="B59" s="18">
        <f>E59-TIME(0,15,0)</f>
        <v>0.590416666666666</v>
      </c>
      <c r="C59" s="17" t="s">
        <v>19</v>
      </c>
      <c r="D59" s="32">
        <v>209</v>
      </c>
      <c r="E59" s="31">
        <v>0.600833333333333</v>
      </c>
      <c r="F59" s="31">
        <v>0.695277777777777</v>
      </c>
      <c r="G59" s="31">
        <f t="shared" si="51"/>
        <v>0.094444444444444</v>
      </c>
      <c r="H59" s="32"/>
      <c r="I59" s="18">
        <f t="shared" si="52"/>
        <v>0.027083333333334</v>
      </c>
      <c r="J59" s="32"/>
      <c r="K59" s="32"/>
      <c r="L59" s="39">
        <v>206</v>
      </c>
      <c r="M59" s="31">
        <v>0.722361111111111</v>
      </c>
      <c r="N59" s="31">
        <v>0.800138888888888</v>
      </c>
      <c r="O59" s="31">
        <f t="shared" si="53"/>
        <v>0.0777777777777769</v>
      </c>
      <c r="P59" s="32"/>
      <c r="Q59" s="18">
        <f t="shared" si="57"/>
        <v>0.020833333333333</v>
      </c>
      <c r="R59" s="32"/>
      <c r="S59" s="32"/>
      <c r="T59" s="32">
        <v>223</v>
      </c>
      <c r="U59" s="31">
        <v>0.820972222222221</v>
      </c>
      <c r="V59" s="31">
        <v>0.912638888888888</v>
      </c>
      <c r="W59" s="31">
        <f t="shared" si="54"/>
        <v>0.091666666666667</v>
      </c>
      <c r="X59" s="59"/>
      <c r="Y59" s="18">
        <v>0.916666666666667</v>
      </c>
      <c r="Z59" s="17" t="s">
        <v>19</v>
      </c>
      <c r="AA59" s="32">
        <v>191</v>
      </c>
      <c r="AB59" s="23">
        <f t="shared" si="56"/>
        <v>0.326250000000001</v>
      </c>
      <c r="AC59" s="36">
        <f t="shared" si="55"/>
        <v>0.263888888888888</v>
      </c>
      <c r="AD59" s="36">
        <f t="shared" si="58"/>
        <v>0.0479166666666671</v>
      </c>
      <c r="AE59" s="40"/>
      <c r="AF59" s="41" t="s">
        <v>67</v>
      </c>
    </row>
    <row r="60" ht="18.75" customHeight="1" spans="1:44">
      <c r="A60" s="17">
        <v>47</v>
      </c>
      <c r="B60" s="18">
        <v>0.59375</v>
      </c>
      <c r="C60" s="32" t="s">
        <v>31</v>
      </c>
      <c r="D60" s="32">
        <v>221</v>
      </c>
      <c r="E60" s="34">
        <v>0.60625</v>
      </c>
      <c r="F60" s="31">
        <v>0.678611111111111</v>
      </c>
      <c r="G60" s="31">
        <f t="shared" si="51"/>
        <v>0.0723611111111111</v>
      </c>
      <c r="H60" s="32"/>
      <c r="I60" s="18">
        <f t="shared" si="52"/>
        <v>0.032638888888889</v>
      </c>
      <c r="J60" s="59"/>
      <c r="K60" s="59"/>
      <c r="L60" s="32">
        <v>211</v>
      </c>
      <c r="M60" s="31">
        <v>0.71125</v>
      </c>
      <c r="N60" s="31">
        <v>0.80361111111111</v>
      </c>
      <c r="O60" s="31">
        <f t="shared" si="53"/>
        <v>0.09236111111111</v>
      </c>
      <c r="P60" s="32"/>
      <c r="Q60" s="18">
        <f t="shared" si="57"/>
        <v>0.0208333333333329</v>
      </c>
      <c r="R60" s="59"/>
      <c r="S60" s="59"/>
      <c r="T60" s="32">
        <v>220</v>
      </c>
      <c r="U60" s="31">
        <v>0.824444444444443</v>
      </c>
      <c r="V60" s="31">
        <v>0.904166666666667</v>
      </c>
      <c r="W60" s="31">
        <f t="shared" si="54"/>
        <v>0.079722222222224</v>
      </c>
      <c r="X60" s="32" t="s">
        <v>45</v>
      </c>
      <c r="Y60" s="18">
        <v>0.909722222222222</v>
      </c>
      <c r="Z60" s="17" t="s">
        <v>52</v>
      </c>
      <c r="AA60" s="32">
        <f>55+68+57</f>
        <v>180</v>
      </c>
      <c r="AB60" s="23">
        <f t="shared" si="56"/>
        <v>0.315972222222222</v>
      </c>
      <c r="AC60" s="36">
        <f t="shared" si="55"/>
        <v>0.244444444444445</v>
      </c>
      <c r="AD60" s="36">
        <f t="shared" si="58"/>
        <v>0.0534722222222219</v>
      </c>
      <c r="AE60" s="40"/>
      <c r="AF60" s="41" t="s">
        <v>68</v>
      </c>
    </row>
    <row r="61" ht="18.75" customHeight="1" spans="1:44">
      <c r="A61" s="17">
        <v>48</v>
      </c>
      <c r="B61" s="18">
        <v>0.597222222222222</v>
      </c>
      <c r="C61" s="17" t="s">
        <v>19</v>
      </c>
      <c r="D61" s="32">
        <v>210</v>
      </c>
      <c r="E61" s="31">
        <v>0.606388888888888</v>
      </c>
      <c r="F61" s="31">
        <v>0.700138888888889</v>
      </c>
      <c r="G61" s="31">
        <f t="shared" si="51"/>
        <v>0.093750000000001</v>
      </c>
      <c r="H61" s="32"/>
      <c r="I61" s="18">
        <f t="shared" si="52"/>
        <v>0.027777777777777</v>
      </c>
      <c r="J61" s="32"/>
      <c r="K61" s="32"/>
      <c r="L61" s="32">
        <v>219</v>
      </c>
      <c r="M61" s="31">
        <v>0.727916666666666</v>
      </c>
      <c r="N61" s="31">
        <v>0.817499999999999</v>
      </c>
      <c r="O61" s="31">
        <f t="shared" si="53"/>
        <v>0.089583333333333</v>
      </c>
      <c r="P61" s="32"/>
      <c r="Q61" s="18">
        <f t="shared" si="57"/>
        <v>0.034722222222222</v>
      </c>
      <c r="R61" s="32"/>
      <c r="S61" s="21"/>
      <c r="T61" s="32">
        <v>207</v>
      </c>
      <c r="U61" s="31">
        <v>0.852222222222221</v>
      </c>
      <c r="V61" s="34">
        <v>0.898611111111111</v>
      </c>
      <c r="W61" s="31">
        <f t="shared" si="54"/>
        <v>0.04638888888889</v>
      </c>
      <c r="X61" s="32" t="s">
        <v>69</v>
      </c>
      <c r="Y61" s="18">
        <v>0.902777777777778</v>
      </c>
      <c r="Z61" s="32" t="s">
        <v>70</v>
      </c>
      <c r="AA61" s="32">
        <v>170</v>
      </c>
      <c r="AB61" s="23">
        <f t="shared" si="56"/>
        <v>0.305555555555556</v>
      </c>
      <c r="AC61" s="36">
        <f t="shared" si="55"/>
        <v>0.229722222222224</v>
      </c>
      <c r="AD61" s="36">
        <f t="shared" si="58"/>
        <v>0.062499999999999</v>
      </c>
      <c r="AE61" s="40"/>
      <c r="AF61" s="41" t="s">
        <v>71</v>
      </c>
    </row>
    <row r="62" s="5" customFormat="1" ht="18.75" customHeight="1" spans="1:44">
      <c r="A62" s="48"/>
      <c r="B62" s="49"/>
      <c r="C62" s="48"/>
      <c r="D62" s="50"/>
      <c r="E62" s="52"/>
      <c r="F62" s="52"/>
      <c r="G62" s="52"/>
      <c r="H62" s="50"/>
      <c r="I62" s="49"/>
      <c r="J62" s="50"/>
      <c r="K62" s="50"/>
      <c r="L62" s="50"/>
      <c r="M62" s="52"/>
      <c r="N62" s="52"/>
      <c r="O62" s="52"/>
      <c r="P62" s="50"/>
      <c r="Q62" s="49"/>
      <c r="R62" s="50"/>
      <c r="S62" s="75"/>
      <c r="T62" s="50"/>
      <c r="U62" s="52"/>
      <c r="V62" s="58"/>
      <c r="W62" s="52"/>
      <c r="X62" s="50"/>
      <c r="Y62" s="49"/>
      <c r="Z62" s="50"/>
      <c r="AA62" s="32"/>
      <c r="AB62" s="76"/>
      <c r="AC62" s="77"/>
      <c r="AD62" s="77"/>
      <c r="AE62" s="52"/>
      <c r="AF62" s="50"/>
    </row>
    <row r="63" ht="18.75" customHeight="1" spans="1:44">
      <c r="A63" s="17">
        <v>49</v>
      </c>
      <c r="B63" s="18">
        <v>0.600694444444444</v>
      </c>
      <c r="C63" s="17" t="s">
        <v>19</v>
      </c>
      <c r="D63" s="32">
        <v>215</v>
      </c>
      <c r="E63" s="31">
        <v>0.611944444444444</v>
      </c>
      <c r="F63" s="31">
        <v>0.706388888888888</v>
      </c>
      <c r="G63" s="31">
        <f t="shared" ref="G63:G67" si="59">MOD(F63-E63,1)</f>
        <v>0.094444444444444</v>
      </c>
      <c r="H63" s="32"/>
      <c r="I63" s="18">
        <f t="shared" ref="I63:I67" si="60">M63-F63</f>
        <v>0.027083333333334</v>
      </c>
      <c r="J63" s="32"/>
      <c r="K63" s="32"/>
      <c r="L63" s="32">
        <v>220</v>
      </c>
      <c r="M63" s="31">
        <v>0.733472222222222</v>
      </c>
      <c r="N63" s="31">
        <v>0.824444444444443</v>
      </c>
      <c r="O63" s="31">
        <f t="shared" ref="O63:O67" si="61">MOD(N63-M63,1)</f>
        <v>0.090972222222221</v>
      </c>
      <c r="P63" s="32"/>
      <c r="Q63" s="18">
        <f t="shared" ref="Q63:Q67" si="62">U63-N63</f>
        <v>0.034722222222223</v>
      </c>
      <c r="R63" s="32"/>
      <c r="S63" s="21"/>
      <c r="T63" s="32">
        <v>221</v>
      </c>
      <c r="U63" s="31">
        <v>0.859166666666666</v>
      </c>
      <c r="V63" s="34">
        <v>0.891666666666667</v>
      </c>
      <c r="W63" s="31">
        <f t="shared" ref="W63:W67" si="63">MOD(V63-U63,1)</f>
        <v>0.0325000000000011</v>
      </c>
      <c r="X63" s="32" t="s">
        <v>24</v>
      </c>
      <c r="Y63" s="18">
        <v>0.895833333333333</v>
      </c>
      <c r="Z63" s="17" t="s">
        <v>52</v>
      </c>
      <c r="AA63" s="32">
        <v>160</v>
      </c>
      <c r="AB63" s="78">
        <f t="shared" ref="AB63:AB67" si="64">MOD((Y63-B63),1)</f>
        <v>0.295138888888889</v>
      </c>
      <c r="AC63" s="79">
        <f t="shared" ref="AC63:AC67" si="65">G63+O63+W63</f>
        <v>0.217916666666666</v>
      </c>
      <c r="AD63" s="79">
        <f t="shared" ref="AD63:AD67" si="66">I63+Q63</f>
        <v>0.061805555555557</v>
      </c>
      <c r="AE63" s="40"/>
      <c r="AF63" s="17">
        <v>49</v>
      </c>
    </row>
    <row r="64" s="2" customFormat="1" ht="18.75" customHeight="1" spans="1:44">
      <c r="A64" s="17">
        <v>50</v>
      </c>
      <c r="B64" s="18">
        <v>0.607638888888889</v>
      </c>
      <c r="C64" s="17" t="s">
        <v>19</v>
      </c>
      <c r="D64" s="32">
        <v>211</v>
      </c>
      <c r="E64" s="31">
        <v>0.617499999999999</v>
      </c>
      <c r="F64" s="31">
        <v>0.71125</v>
      </c>
      <c r="G64" s="31">
        <f t="shared" si="59"/>
        <v>0.093750000000001</v>
      </c>
      <c r="H64" s="32"/>
      <c r="I64" s="18">
        <f t="shared" si="60"/>
        <v>0.0291666666666659</v>
      </c>
      <c r="J64" s="32"/>
      <c r="K64" s="32"/>
      <c r="L64" s="32">
        <v>203</v>
      </c>
      <c r="M64" s="31">
        <v>0.740416666666666</v>
      </c>
      <c r="N64" s="31">
        <v>0.831388888888888</v>
      </c>
      <c r="O64" s="31">
        <f t="shared" si="61"/>
        <v>0.090972222222222</v>
      </c>
      <c r="P64" s="32"/>
      <c r="Q64" s="18">
        <f t="shared" si="62"/>
        <v>0.0347222222222221</v>
      </c>
      <c r="R64" s="32"/>
      <c r="S64" s="21"/>
      <c r="T64" s="32">
        <v>208</v>
      </c>
      <c r="U64" s="31">
        <v>0.86611111111111</v>
      </c>
      <c r="V64" s="34">
        <v>0.898611111111111</v>
      </c>
      <c r="W64" s="31">
        <f t="shared" si="63"/>
        <v>0.032500000000001</v>
      </c>
      <c r="X64" s="32" t="s">
        <v>24</v>
      </c>
      <c r="Y64" s="18">
        <v>0.902777777777778</v>
      </c>
      <c r="Z64" s="17" t="s">
        <v>52</v>
      </c>
      <c r="AA64" s="32">
        <v>160</v>
      </c>
      <c r="AB64" s="23">
        <f t="shared" si="64"/>
        <v>0.295138888888889</v>
      </c>
      <c r="AC64" s="36">
        <f t="shared" si="65"/>
        <v>0.217222222222224</v>
      </c>
      <c r="AD64" s="36">
        <f t="shared" si="66"/>
        <v>0.063888888888888</v>
      </c>
      <c r="AE64" s="40"/>
      <c r="AF64" s="17">
        <v>50</v>
      </c>
    </row>
    <row r="65" s="2" customFormat="1" ht="18.75" customHeight="1" spans="1:44">
      <c r="A65" s="17">
        <v>51</v>
      </c>
      <c r="B65" s="18">
        <v>0.611111111111111</v>
      </c>
      <c r="C65" s="17" t="s">
        <v>19</v>
      </c>
      <c r="D65" s="32">
        <v>201</v>
      </c>
      <c r="E65" s="31">
        <v>0.623055555555555</v>
      </c>
      <c r="F65" s="31">
        <v>0.717499999999999</v>
      </c>
      <c r="G65" s="31">
        <f t="shared" si="59"/>
        <v>0.094444444444444</v>
      </c>
      <c r="H65" s="32"/>
      <c r="I65" s="18">
        <f t="shared" si="60"/>
        <v>0.027083333333334</v>
      </c>
      <c r="J65" s="32"/>
      <c r="K65" s="32"/>
      <c r="L65" s="39">
        <v>213</v>
      </c>
      <c r="M65" s="31">
        <v>0.744583333333333</v>
      </c>
      <c r="N65" s="31">
        <v>0.814027777777777</v>
      </c>
      <c r="O65" s="31">
        <f t="shared" si="61"/>
        <v>0.069444444444444</v>
      </c>
      <c r="P65" s="32"/>
      <c r="Q65" s="18">
        <f t="shared" si="62"/>
        <v>0.03125</v>
      </c>
      <c r="R65" s="32"/>
      <c r="S65" s="59"/>
      <c r="T65" s="32">
        <v>212</v>
      </c>
      <c r="U65" s="31">
        <v>0.845277777777777</v>
      </c>
      <c r="V65" s="31">
        <v>0.909722222222222</v>
      </c>
      <c r="W65" s="31">
        <f t="shared" si="63"/>
        <v>0.064444444444445</v>
      </c>
      <c r="X65" s="32" t="s">
        <v>44</v>
      </c>
      <c r="Y65" s="18">
        <v>0.913194444444445</v>
      </c>
      <c r="Z65" s="32" t="s">
        <v>70</v>
      </c>
      <c r="AA65" s="32">
        <v>165</v>
      </c>
      <c r="AB65" s="23">
        <f t="shared" si="64"/>
        <v>0.302083333333334</v>
      </c>
      <c r="AC65" s="36">
        <f t="shared" si="65"/>
        <v>0.228333333333333</v>
      </c>
      <c r="AD65" s="36">
        <f t="shared" si="66"/>
        <v>0.058333333333334</v>
      </c>
      <c r="AE65" s="40"/>
      <c r="AF65" s="41" t="s">
        <v>72</v>
      </c>
    </row>
    <row r="66" ht="18.75" customHeight="1" spans="1:44">
      <c r="A66" s="17">
        <v>52</v>
      </c>
      <c r="B66" s="18">
        <f>E66-TIME(0,15,0)</f>
        <v>0.618194444444444</v>
      </c>
      <c r="C66" s="17" t="s">
        <v>19</v>
      </c>
      <c r="D66" s="32">
        <v>206</v>
      </c>
      <c r="E66" s="31">
        <v>0.628611111111111</v>
      </c>
      <c r="F66" s="31">
        <v>0.722361111111111</v>
      </c>
      <c r="G66" s="31">
        <f t="shared" si="59"/>
        <v>0.09375</v>
      </c>
      <c r="H66" s="32"/>
      <c r="I66" s="18">
        <f t="shared" si="60"/>
        <v>0.025694444444444</v>
      </c>
      <c r="J66" s="32"/>
      <c r="K66" s="32"/>
      <c r="L66" s="32">
        <v>204</v>
      </c>
      <c r="M66" s="31">
        <v>0.748055555555555</v>
      </c>
      <c r="N66" s="31">
        <v>0.838333333333332</v>
      </c>
      <c r="O66" s="31">
        <f t="shared" si="61"/>
        <v>0.090277777777777</v>
      </c>
      <c r="P66" s="32"/>
      <c r="Q66" s="18">
        <f t="shared" si="62"/>
        <v>0.0315972222222229</v>
      </c>
      <c r="R66" s="32"/>
      <c r="S66" s="32"/>
      <c r="T66" s="32">
        <v>206</v>
      </c>
      <c r="U66" s="31">
        <v>0.869930555555555</v>
      </c>
      <c r="V66" s="34">
        <v>0.905555555555556</v>
      </c>
      <c r="W66" s="31">
        <f t="shared" si="63"/>
        <v>0.035625000000001</v>
      </c>
      <c r="X66" s="32" t="s">
        <v>24</v>
      </c>
      <c r="Y66" s="18">
        <v>0.909722222222222</v>
      </c>
      <c r="Z66" s="17" t="s">
        <v>52</v>
      </c>
      <c r="AA66" s="32">
        <v>160</v>
      </c>
      <c r="AB66" s="80">
        <f t="shared" si="64"/>
        <v>0.291527777777778</v>
      </c>
      <c r="AC66" s="81">
        <f t="shared" si="65"/>
        <v>0.219652777777778</v>
      </c>
      <c r="AD66" s="81">
        <f t="shared" si="66"/>
        <v>0.057291666666667</v>
      </c>
      <c r="AE66" s="40"/>
      <c r="AF66" s="17">
        <v>52</v>
      </c>
    </row>
    <row r="67" ht="18.75" customHeight="1" spans="1:44">
      <c r="A67" s="17">
        <v>53</v>
      </c>
      <c r="B67" s="18">
        <v>0.625</v>
      </c>
      <c r="C67" s="17" t="s">
        <v>19</v>
      </c>
      <c r="D67" s="32">
        <v>219</v>
      </c>
      <c r="E67" s="31">
        <v>0.634166666666666</v>
      </c>
      <c r="F67" s="31">
        <v>0.727916666666666</v>
      </c>
      <c r="G67" s="31">
        <f t="shared" si="59"/>
        <v>0.09375</v>
      </c>
      <c r="H67" s="32"/>
      <c r="I67" s="18">
        <f t="shared" si="60"/>
        <v>0.023611111111111</v>
      </c>
      <c r="J67" s="32"/>
      <c r="K67" s="32"/>
      <c r="L67" s="39">
        <v>223</v>
      </c>
      <c r="M67" s="31">
        <v>0.751527777777777</v>
      </c>
      <c r="N67" s="31">
        <v>0.820972222222221</v>
      </c>
      <c r="O67" s="31">
        <f t="shared" si="61"/>
        <v>0.069444444444444</v>
      </c>
      <c r="P67" s="59"/>
      <c r="Q67" s="18">
        <f t="shared" si="62"/>
        <v>0.034722222222222</v>
      </c>
      <c r="R67" s="32"/>
      <c r="S67" s="21"/>
      <c r="T67" s="39">
        <v>218</v>
      </c>
      <c r="U67" s="31">
        <v>0.855694444444443</v>
      </c>
      <c r="V67" s="31">
        <v>0.892361111111111</v>
      </c>
      <c r="W67" s="31">
        <f t="shared" si="63"/>
        <v>0.0366666666666681</v>
      </c>
      <c r="X67" s="32" t="s">
        <v>27</v>
      </c>
      <c r="Y67" s="18">
        <v>0.895833333333333</v>
      </c>
      <c r="Z67" s="17" t="s">
        <v>34</v>
      </c>
      <c r="AA67" s="32">
        <v>120</v>
      </c>
      <c r="AB67" s="23">
        <f t="shared" si="64"/>
        <v>0.270833333333333</v>
      </c>
      <c r="AC67" s="36">
        <f t="shared" si="65"/>
        <v>0.199861111111112</v>
      </c>
      <c r="AD67" s="36">
        <f t="shared" si="66"/>
        <v>0.058333333333333</v>
      </c>
      <c r="AE67" s="40"/>
      <c r="AF67" s="17">
        <v>53</v>
      </c>
    </row>
    <row r="68" s="5" customFormat="1" ht="18.75" customHeight="1" spans="1:44">
      <c r="A68" s="48"/>
      <c r="B68" s="49"/>
      <c r="C68" s="48"/>
      <c r="D68" s="50"/>
      <c r="E68" s="52"/>
      <c r="F68" s="52"/>
      <c r="G68" s="52"/>
      <c r="H68" s="50"/>
      <c r="I68" s="49"/>
      <c r="J68" s="50"/>
      <c r="K68" s="50"/>
      <c r="L68" s="51"/>
      <c r="M68" s="52"/>
      <c r="N68" s="52"/>
      <c r="O68" s="52"/>
      <c r="P68" s="60"/>
      <c r="Q68" s="49"/>
      <c r="R68" s="50"/>
      <c r="S68" s="75"/>
      <c r="T68" s="51"/>
      <c r="U68" s="52"/>
      <c r="V68" s="52"/>
      <c r="W68" s="52"/>
      <c r="X68" s="50"/>
      <c r="Y68" s="49"/>
      <c r="Z68" s="48"/>
      <c r="AA68" s="32"/>
      <c r="AB68" s="53"/>
      <c r="AC68" s="49"/>
      <c r="AD68" s="49"/>
      <c r="AE68" s="52"/>
      <c r="AF68" s="50"/>
    </row>
    <row r="69" ht="18.75" customHeight="1" spans="1:44">
      <c r="A69" s="17">
        <v>54</v>
      </c>
      <c r="B69" s="18">
        <v>0.628472222222222</v>
      </c>
      <c r="C69" s="17" t="s">
        <v>19</v>
      </c>
      <c r="D69" s="32">
        <v>220</v>
      </c>
      <c r="E69" s="31">
        <v>0.639722222222222</v>
      </c>
      <c r="F69" s="31">
        <v>0.733472222222222</v>
      </c>
      <c r="G69" s="31">
        <f t="shared" ref="G69:G73" si="67">MOD(F69-E69,1)</f>
        <v>0.09375</v>
      </c>
      <c r="H69" s="32"/>
      <c r="I69" s="18">
        <f t="shared" ref="I69:I73" si="68">M69-F69</f>
        <v>0.021527777777777</v>
      </c>
      <c r="J69" s="32"/>
      <c r="K69" s="32"/>
      <c r="L69" s="32">
        <v>212</v>
      </c>
      <c r="M69" s="31">
        <v>0.754999999999999</v>
      </c>
      <c r="N69" s="31">
        <v>0.845277777777777</v>
      </c>
      <c r="O69" s="31">
        <f t="shared" ref="O69:O73" si="69">MOD(N69-M69,1)</f>
        <v>0.090277777777778</v>
      </c>
      <c r="P69" s="32"/>
      <c r="Q69" s="18">
        <f t="shared" ref="Q69:Q71" si="70">U69-N69</f>
        <v>0.034722222222222</v>
      </c>
      <c r="R69" s="32"/>
      <c r="S69" s="21"/>
      <c r="T69" s="32">
        <v>210</v>
      </c>
      <c r="U69" s="31">
        <v>0.879999999999999</v>
      </c>
      <c r="V69" s="34">
        <v>0.900000000000003</v>
      </c>
      <c r="W69" s="31">
        <f t="shared" ref="W69:W71" si="71">MOD(V69-U69,1)</f>
        <v>0.020000000000004</v>
      </c>
      <c r="X69" s="32"/>
      <c r="Y69" s="18">
        <v>0.902777777777778</v>
      </c>
      <c r="Z69" s="17" t="s">
        <v>19</v>
      </c>
      <c r="AA69" s="32">
        <v>149</v>
      </c>
      <c r="AB69" s="23">
        <f t="shared" ref="AB69:AB73" si="72">MOD((Y69-B69),1)</f>
        <v>0.274305555555556</v>
      </c>
      <c r="AC69" s="36">
        <f t="shared" ref="AC69:AC73" si="73">G69+O69+W69</f>
        <v>0.204027777777782</v>
      </c>
      <c r="AD69" s="36">
        <f t="shared" ref="AD69:AD73" si="74">I69+Q69</f>
        <v>0.056249999999999</v>
      </c>
      <c r="AE69" s="40"/>
      <c r="AF69" s="17">
        <v>54</v>
      </c>
    </row>
    <row r="70" ht="18.75" customHeight="1" spans="1:44">
      <c r="A70" s="17">
        <v>55</v>
      </c>
      <c r="B70" s="18">
        <v>0.635416666666667</v>
      </c>
      <c r="C70" s="17" t="s">
        <v>19</v>
      </c>
      <c r="D70" s="32">
        <v>203</v>
      </c>
      <c r="E70" s="31">
        <v>0.645277777777777</v>
      </c>
      <c r="F70" s="31">
        <v>0.740416666666666</v>
      </c>
      <c r="G70" s="31">
        <f t="shared" si="67"/>
        <v>0.095138888888889</v>
      </c>
      <c r="H70" s="32"/>
      <c r="I70" s="18">
        <f t="shared" si="68"/>
        <v>0.021527777777777</v>
      </c>
      <c r="J70" s="32"/>
      <c r="K70" s="32"/>
      <c r="L70" s="32">
        <v>207</v>
      </c>
      <c r="M70" s="31">
        <v>0.761944444444443</v>
      </c>
      <c r="N70" s="31">
        <v>0.852222222222221</v>
      </c>
      <c r="O70" s="31">
        <f t="shared" si="69"/>
        <v>0.090277777777778</v>
      </c>
      <c r="P70" s="32"/>
      <c r="Q70" s="18">
        <f t="shared" si="70"/>
        <v>0.034722222222222</v>
      </c>
      <c r="R70" s="32"/>
      <c r="S70" s="21"/>
      <c r="T70" s="32">
        <v>215</v>
      </c>
      <c r="U70" s="31">
        <v>0.886944444444443</v>
      </c>
      <c r="V70" s="34">
        <v>0.906944444444448</v>
      </c>
      <c r="W70" s="31">
        <f t="shared" si="71"/>
        <v>0.020000000000005</v>
      </c>
      <c r="X70" s="32"/>
      <c r="Y70" s="18">
        <v>0.909722222222222</v>
      </c>
      <c r="Z70" s="17" t="s">
        <v>19</v>
      </c>
      <c r="AA70" s="32">
        <v>149</v>
      </c>
      <c r="AB70" s="23">
        <f t="shared" si="72"/>
        <v>0.274305555555555</v>
      </c>
      <c r="AC70" s="36">
        <f t="shared" si="73"/>
        <v>0.205416666666672</v>
      </c>
      <c r="AD70" s="36">
        <f t="shared" si="74"/>
        <v>0.056249999999999</v>
      </c>
      <c r="AE70" s="40"/>
      <c r="AF70" s="32">
        <v>55</v>
      </c>
    </row>
    <row r="71" ht="18.75" customHeight="1" spans="1:44">
      <c r="A71" s="17">
        <v>56</v>
      </c>
      <c r="B71" s="18">
        <v>0.638888888888889</v>
      </c>
      <c r="C71" s="17" t="s">
        <v>19</v>
      </c>
      <c r="D71" s="32">
        <v>204</v>
      </c>
      <c r="E71" s="31">
        <v>0.650833333333333</v>
      </c>
      <c r="F71" s="34">
        <v>0.675</v>
      </c>
      <c r="G71" s="31">
        <f t="shared" si="67"/>
        <v>0.024166666666667</v>
      </c>
      <c r="H71" s="32"/>
      <c r="I71" s="18">
        <f t="shared" si="68"/>
        <v>0.014722222222222</v>
      </c>
      <c r="J71" s="32"/>
      <c r="K71" s="32"/>
      <c r="L71" s="39">
        <v>214</v>
      </c>
      <c r="M71" s="31">
        <v>0.689722222222222</v>
      </c>
      <c r="N71" s="31">
        <v>0.765416666666666</v>
      </c>
      <c r="O71" s="31">
        <f t="shared" si="69"/>
        <v>0.075694444444444</v>
      </c>
      <c r="P71" s="32"/>
      <c r="Q71" s="18">
        <f t="shared" si="70"/>
        <v>0.020833333333333</v>
      </c>
      <c r="R71" s="32"/>
      <c r="S71" s="32"/>
      <c r="T71" s="39">
        <v>218</v>
      </c>
      <c r="U71" s="31">
        <v>0.786249999999999</v>
      </c>
      <c r="V71" s="31">
        <v>0.855694444444443</v>
      </c>
      <c r="W71" s="31">
        <f t="shared" si="71"/>
        <v>0.069444444444444</v>
      </c>
      <c r="X71" s="32"/>
      <c r="Y71" s="18">
        <v>0.861111111111111</v>
      </c>
      <c r="Z71" s="17" t="s">
        <v>19</v>
      </c>
      <c r="AA71" s="32">
        <v>119</v>
      </c>
      <c r="AB71" s="23">
        <f t="shared" si="72"/>
        <v>0.222222222222222</v>
      </c>
      <c r="AC71" s="36">
        <f t="shared" si="73"/>
        <v>0.169305555555555</v>
      </c>
      <c r="AD71" s="36">
        <f t="shared" si="74"/>
        <v>0.035555555555555</v>
      </c>
      <c r="AE71" s="40"/>
      <c r="AF71" s="32">
        <v>56</v>
      </c>
    </row>
    <row r="72" ht="18.75" customHeight="1" spans="1:44">
      <c r="A72" s="17">
        <v>57</v>
      </c>
      <c r="B72" s="18">
        <f t="shared" ref="B72:B79" si="75">E72-TIME(0,15,0)</f>
        <v>0.649305555555555</v>
      </c>
      <c r="C72" s="32" t="s">
        <v>32</v>
      </c>
      <c r="D72" s="39">
        <v>222</v>
      </c>
      <c r="E72" s="31">
        <v>0.659722222222222</v>
      </c>
      <c r="F72" s="31">
        <v>0.758472222222222</v>
      </c>
      <c r="G72" s="31">
        <f t="shared" si="67"/>
        <v>0.09875</v>
      </c>
      <c r="H72" s="32"/>
      <c r="I72" s="18">
        <f t="shared" si="68"/>
        <v>0.020833333333333</v>
      </c>
      <c r="J72" s="32"/>
      <c r="K72" s="32"/>
      <c r="L72" s="39">
        <v>216</v>
      </c>
      <c r="M72" s="31">
        <v>0.779305555555555</v>
      </c>
      <c r="N72" s="31">
        <v>0.885416666666667</v>
      </c>
      <c r="O72" s="31">
        <f t="shared" si="69"/>
        <v>0.106111111111112</v>
      </c>
      <c r="P72" s="32" t="s">
        <v>27</v>
      </c>
      <c r="Q72" s="18"/>
      <c r="R72" s="32"/>
      <c r="S72" s="32"/>
      <c r="T72" s="32"/>
      <c r="U72" s="31"/>
      <c r="V72" s="34"/>
      <c r="W72" s="31"/>
      <c r="X72" s="32"/>
      <c r="Y72" s="18">
        <v>0.895833333333333</v>
      </c>
      <c r="Z72" s="17" t="s">
        <v>34</v>
      </c>
      <c r="AA72" s="32">
        <v>97</v>
      </c>
      <c r="AB72" s="23">
        <f t="shared" si="72"/>
        <v>0.246527777777778</v>
      </c>
      <c r="AC72" s="36">
        <f t="shared" si="73"/>
        <v>0.204861111111112</v>
      </c>
      <c r="AD72" s="36">
        <f t="shared" si="74"/>
        <v>0.020833333333333</v>
      </c>
      <c r="AE72" s="36"/>
      <c r="AF72" s="32">
        <v>57</v>
      </c>
    </row>
    <row r="73" ht="18.75" customHeight="1" spans="1:44">
      <c r="A73" s="17">
        <v>58</v>
      </c>
      <c r="B73" s="18">
        <f t="shared" si="75"/>
        <v>0.645833333333333</v>
      </c>
      <c r="C73" s="32" t="s">
        <v>32</v>
      </c>
      <c r="D73" s="39">
        <v>223</v>
      </c>
      <c r="E73" s="31">
        <v>0.65625</v>
      </c>
      <c r="F73" s="31">
        <v>0.751527777777777</v>
      </c>
      <c r="G73" s="31">
        <f t="shared" si="67"/>
        <v>0.095277777777777</v>
      </c>
      <c r="H73" s="32"/>
      <c r="I73" s="18">
        <f t="shared" si="68"/>
        <v>0.020833333333333</v>
      </c>
      <c r="J73" s="32"/>
      <c r="K73" s="32"/>
      <c r="L73" s="39">
        <v>209</v>
      </c>
      <c r="M73" s="31">
        <v>0.77236111111111</v>
      </c>
      <c r="N73" s="31">
        <v>0.878472222222222</v>
      </c>
      <c r="O73" s="31">
        <f t="shared" si="69"/>
        <v>0.106111111111112</v>
      </c>
      <c r="P73" s="69" t="s">
        <v>27</v>
      </c>
      <c r="Q73" s="18"/>
      <c r="R73" s="32"/>
      <c r="S73" s="32"/>
      <c r="T73" s="32"/>
      <c r="U73" s="34"/>
      <c r="V73" s="31"/>
      <c r="W73" s="31"/>
      <c r="X73" s="32"/>
      <c r="Y73" s="18">
        <v>0.895833333333333</v>
      </c>
      <c r="Z73" s="17" t="s">
        <v>34</v>
      </c>
      <c r="AA73" s="32">
        <v>97</v>
      </c>
      <c r="AB73" s="23">
        <f t="shared" si="72"/>
        <v>0.25</v>
      </c>
      <c r="AC73" s="36">
        <f t="shared" si="73"/>
        <v>0.201388888888889</v>
      </c>
      <c r="AD73" s="36">
        <f t="shared" si="74"/>
        <v>0.020833333333333</v>
      </c>
      <c r="AE73" s="40"/>
      <c r="AF73" s="32">
        <v>58</v>
      </c>
    </row>
    <row r="74" s="5" customFormat="1" ht="18.75" customHeight="1" spans="1:44">
      <c r="A74" s="48"/>
      <c r="B74" s="49"/>
      <c r="C74" s="48"/>
      <c r="D74" s="50"/>
      <c r="E74" s="52"/>
      <c r="F74" s="52"/>
      <c r="G74" s="52"/>
      <c r="H74" s="50"/>
      <c r="I74" s="49"/>
      <c r="J74" s="50"/>
      <c r="K74" s="50"/>
      <c r="L74" s="50"/>
      <c r="M74" s="52"/>
      <c r="N74" s="52"/>
      <c r="O74" s="52"/>
      <c r="P74" s="50"/>
      <c r="Q74" s="49"/>
      <c r="R74" s="50"/>
      <c r="S74" s="50"/>
      <c r="T74" s="50"/>
      <c r="U74" s="58"/>
      <c r="V74" s="52"/>
      <c r="W74" s="52"/>
      <c r="X74" s="50"/>
      <c r="Y74" s="49"/>
      <c r="Z74" s="48"/>
      <c r="AA74" s="32"/>
      <c r="AB74" s="53"/>
      <c r="AC74" s="49"/>
      <c r="AD74" s="49"/>
      <c r="AE74" s="52"/>
      <c r="AF74" s="50"/>
    </row>
    <row r="75" ht="18.75" customHeight="1" spans="1:44">
      <c r="A75" s="17">
        <v>59</v>
      </c>
      <c r="B75" s="18">
        <f t="shared" si="75"/>
        <v>0.663194444444444</v>
      </c>
      <c r="C75" s="17" t="s">
        <v>31</v>
      </c>
      <c r="D75" s="32">
        <v>204</v>
      </c>
      <c r="E75" s="34">
        <v>0.673611111111111</v>
      </c>
      <c r="F75" s="31">
        <v>0.748055555555555</v>
      </c>
      <c r="G75" s="31">
        <f t="shared" ref="G75:G79" si="76">MOD(F75-E75,1)</f>
        <v>0.074444444444444</v>
      </c>
      <c r="H75" s="32"/>
      <c r="I75" s="18">
        <f t="shared" ref="I75:I79" si="77">M75-F75</f>
        <v>0.0208333333333329</v>
      </c>
      <c r="J75" s="32"/>
      <c r="K75" s="32"/>
      <c r="L75" s="32">
        <v>221</v>
      </c>
      <c r="M75" s="31">
        <v>0.768888888888888</v>
      </c>
      <c r="N75" s="31">
        <v>0.859166666666666</v>
      </c>
      <c r="O75" s="31">
        <f t="shared" ref="O75:O79" si="78">MOD(N75-M75,1)</f>
        <v>0.090277777777778</v>
      </c>
      <c r="P75" s="32"/>
      <c r="Q75" s="18">
        <f t="shared" ref="Q75:Q78" si="79">U75-N75</f>
        <v>0.015833333333334</v>
      </c>
      <c r="R75" s="32"/>
      <c r="S75" s="32"/>
      <c r="T75" s="32">
        <v>205</v>
      </c>
      <c r="U75" s="31">
        <v>0.875</v>
      </c>
      <c r="V75" s="31">
        <v>0.909722222222222</v>
      </c>
      <c r="W75" s="31">
        <f t="shared" ref="W75:W78" si="80">MOD(V75-U75,1)</f>
        <v>0.034722222222222</v>
      </c>
      <c r="X75" s="32" t="s">
        <v>73</v>
      </c>
      <c r="Y75" s="18">
        <v>0.913194444444445</v>
      </c>
      <c r="Z75" s="17" t="s">
        <v>19</v>
      </c>
      <c r="AA75" s="32">
        <v>136</v>
      </c>
      <c r="AB75" s="23">
        <f t="shared" ref="AB75:AB79" si="81">MOD((Y75-B75),1)</f>
        <v>0.250000000000001</v>
      </c>
      <c r="AC75" s="36">
        <f>G75+O75+W77</f>
        <v>0.18625</v>
      </c>
      <c r="AD75" s="36">
        <f t="shared" ref="AD75:AD79" si="82">I75+Q75</f>
        <v>0.036666666666667</v>
      </c>
      <c r="AE75" s="40"/>
      <c r="AF75" s="32">
        <v>59</v>
      </c>
    </row>
    <row r="76" ht="18.75" customHeight="1" spans="1:44">
      <c r="A76" s="17">
        <v>60</v>
      </c>
      <c r="B76" s="18">
        <f t="shared" si="75"/>
        <v>0.663194444444444</v>
      </c>
      <c r="C76" s="32" t="s">
        <v>32</v>
      </c>
      <c r="D76" s="32">
        <v>205</v>
      </c>
      <c r="E76" s="31">
        <v>0.673611111111111</v>
      </c>
      <c r="F76" s="34">
        <v>0.712499999999999</v>
      </c>
      <c r="G76" s="31">
        <f t="shared" si="76"/>
        <v>0.038888888888888</v>
      </c>
      <c r="H76" s="32"/>
      <c r="I76" s="18">
        <f t="shared" si="77"/>
        <v>0.0244444444444449</v>
      </c>
      <c r="J76" s="32"/>
      <c r="K76" s="32"/>
      <c r="L76" s="39">
        <v>217</v>
      </c>
      <c r="M76" s="31">
        <v>0.736944444444444</v>
      </c>
      <c r="N76" s="31">
        <v>0.807083333333332</v>
      </c>
      <c r="O76" s="31">
        <f t="shared" si="78"/>
        <v>0.0701388888888881</v>
      </c>
      <c r="P76" s="32"/>
      <c r="Q76" s="18">
        <f t="shared" si="79"/>
        <v>0.0243055555555559</v>
      </c>
      <c r="R76" s="32"/>
      <c r="S76" s="32"/>
      <c r="T76" s="32">
        <v>203</v>
      </c>
      <c r="U76" s="31">
        <v>0.831388888888888</v>
      </c>
      <c r="V76" s="31">
        <v>0.909722222222222</v>
      </c>
      <c r="W76" s="31">
        <f t="shared" si="80"/>
        <v>0.078333333333334</v>
      </c>
      <c r="X76" s="32" t="s">
        <v>45</v>
      </c>
      <c r="Y76" s="18">
        <v>0.913194444444445</v>
      </c>
      <c r="Z76" s="17" t="s">
        <v>52</v>
      </c>
      <c r="AA76" s="32">
        <v>109</v>
      </c>
      <c r="AB76" s="23">
        <f t="shared" si="81"/>
        <v>0.250000000000001</v>
      </c>
      <c r="AC76" s="36">
        <f t="shared" ref="AC76:AC79" si="83">G76+O76+W76</f>
        <v>0.18736111111111</v>
      </c>
      <c r="AD76" s="36">
        <f t="shared" si="82"/>
        <v>0.0487500000000008</v>
      </c>
      <c r="AE76" s="40"/>
      <c r="AF76" s="32">
        <v>60</v>
      </c>
    </row>
    <row r="77" ht="18.75" customHeight="1" spans="1:44">
      <c r="A77" s="17">
        <v>61</v>
      </c>
      <c r="B77" s="18">
        <f t="shared" si="75"/>
        <v>0.670138888888888</v>
      </c>
      <c r="C77" s="32" t="s">
        <v>32</v>
      </c>
      <c r="D77" s="39">
        <v>216</v>
      </c>
      <c r="E77" s="31">
        <v>0.680555555555555</v>
      </c>
      <c r="F77" s="31">
        <v>0.779305555555555</v>
      </c>
      <c r="G77" s="31">
        <f t="shared" si="76"/>
        <v>0.09875</v>
      </c>
      <c r="H77" s="32"/>
      <c r="I77" s="18">
        <f t="shared" si="77"/>
        <v>0.0208333333333329</v>
      </c>
      <c r="J77" s="32"/>
      <c r="K77" s="32"/>
      <c r="L77" s="39">
        <v>206</v>
      </c>
      <c r="M77" s="31">
        <v>0.800138888888888</v>
      </c>
      <c r="N77" s="31">
        <v>0.869930555555555</v>
      </c>
      <c r="O77" s="31">
        <f t="shared" si="78"/>
        <v>0.069791666666667</v>
      </c>
      <c r="P77" s="32"/>
      <c r="Q77" s="18">
        <f t="shared" si="79"/>
        <v>0.0224305555555561</v>
      </c>
      <c r="R77" s="32"/>
      <c r="S77" s="32"/>
      <c r="T77" s="32">
        <v>217</v>
      </c>
      <c r="U77" s="31">
        <v>0.892361111111111</v>
      </c>
      <c r="V77" s="34">
        <v>0.913888888888889</v>
      </c>
      <c r="W77" s="31">
        <f t="shared" si="80"/>
        <v>0.0215277777777779</v>
      </c>
      <c r="X77" s="32"/>
      <c r="Y77" s="18">
        <v>0.916666666666667</v>
      </c>
      <c r="Z77" s="17" t="s">
        <v>19</v>
      </c>
      <c r="AA77" s="32">
        <v>108</v>
      </c>
      <c r="AB77" s="23">
        <f t="shared" si="81"/>
        <v>0.246527777777779</v>
      </c>
      <c r="AC77" s="36">
        <f t="shared" si="83"/>
        <v>0.190069444444445</v>
      </c>
      <c r="AD77" s="36">
        <f t="shared" si="82"/>
        <v>0.043263888888889</v>
      </c>
      <c r="AE77" s="40"/>
      <c r="AF77" s="32">
        <v>61</v>
      </c>
    </row>
    <row r="78" ht="18.75" customHeight="1" spans="1:44">
      <c r="A78" s="17">
        <v>62</v>
      </c>
      <c r="B78" s="18">
        <f t="shared" si="75"/>
        <v>0.677083333333333</v>
      </c>
      <c r="C78" s="32" t="s">
        <v>32</v>
      </c>
      <c r="D78" s="39">
        <v>218</v>
      </c>
      <c r="E78" s="31">
        <v>0.6875</v>
      </c>
      <c r="F78" s="31">
        <v>0.786111111111111</v>
      </c>
      <c r="G78" s="31">
        <f t="shared" si="76"/>
        <v>0.098611111111111</v>
      </c>
      <c r="H78" s="32"/>
      <c r="I78" s="18">
        <f t="shared" si="77"/>
        <v>0.0209722222222211</v>
      </c>
      <c r="J78" s="32"/>
      <c r="K78" s="32"/>
      <c r="L78" s="39">
        <v>217</v>
      </c>
      <c r="M78" s="31">
        <v>0.807083333333332</v>
      </c>
      <c r="N78" s="31">
        <v>0.892361111111111</v>
      </c>
      <c r="O78" s="31">
        <f t="shared" si="78"/>
        <v>0.085277777777779</v>
      </c>
      <c r="P78" s="32"/>
      <c r="Q78" s="18">
        <f t="shared" si="79"/>
        <v>0.00416666666666698</v>
      </c>
      <c r="R78" s="32"/>
      <c r="S78" s="32"/>
      <c r="T78" s="32">
        <v>211</v>
      </c>
      <c r="U78" s="31">
        <v>0.896527777777778</v>
      </c>
      <c r="V78" s="31">
        <v>0.916666666666667</v>
      </c>
      <c r="W78" s="31">
        <f t="shared" si="80"/>
        <v>0.0201388888888889</v>
      </c>
      <c r="X78" s="32" t="s">
        <v>27</v>
      </c>
      <c r="Y78" s="18">
        <v>0.920138888888889</v>
      </c>
      <c r="Z78" s="17" t="s">
        <v>34</v>
      </c>
      <c r="AA78" s="32">
        <v>102</v>
      </c>
      <c r="AB78" s="23">
        <f t="shared" si="81"/>
        <v>0.243055555555556</v>
      </c>
      <c r="AC78" s="36">
        <f t="shared" si="83"/>
        <v>0.204027777777779</v>
      </c>
      <c r="AD78" s="36">
        <f t="shared" si="82"/>
        <v>0.025138888888888</v>
      </c>
      <c r="AE78" s="40"/>
      <c r="AF78" s="32">
        <v>62</v>
      </c>
    </row>
    <row r="79" ht="18.75" customHeight="1" spans="1:44">
      <c r="A79" s="17">
        <v>63</v>
      </c>
      <c r="B79" s="18">
        <f t="shared" si="75"/>
        <v>0.690972222222222</v>
      </c>
      <c r="C79" s="32" t="s">
        <v>32</v>
      </c>
      <c r="D79" s="32">
        <v>202</v>
      </c>
      <c r="E79" s="31">
        <v>0.701388888888889</v>
      </c>
      <c r="F79" s="31">
        <v>0.810555555555555</v>
      </c>
      <c r="G79" s="31">
        <f t="shared" si="76"/>
        <v>0.109166666666666</v>
      </c>
      <c r="H79" s="32"/>
      <c r="I79" s="18">
        <f t="shared" si="77"/>
        <v>0.027777777777777</v>
      </c>
      <c r="J79" s="32"/>
      <c r="K79" s="32"/>
      <c r="L79" s="32">
        <v>204</v>
      </c>
      <c r="M79" s="31">
        <v>0.838333333333332</v>
      </c>
      <c r="N79" s="31">
        <v>0.915277777777778</v>
      </c>
      <c r="O79" s="31">
        <f t="shared" si="78"/>
        <v>0.0769444444444459</v>
      </c>
      <c r="P79" s="32" t="s">
        <v>45</v>
      </c>
      <c r="Q79" s="18"/>
      <c r="R79" s="32"/>
      <c r="S79" s="32"/>
      <c r="T79" s="32"/>
      <c r="U79" s="34"/>
      <c r="V79" s="31"/>
      <c r="W79" s="31"/>
      <c r="X79" s="32"/>
      <c r="Y79" s="18">
        <v>0.916666666666667</v>
      </c>
      <c r="Z79" s="17" t="s">
        <v>52</v>
      </c>
      <c r="AA79" s="32">
        <v>114</v>
      </c>
      <c r="AB79" s="23">
        <f t="shared" si="81"/>
        <v>0.225694444444445</v>
      </c>
      <c r="AC79" s="36">
        <f t="shared" si="83"/>
        <v>0.186111111111112</v>
      </c>
      <c r="AD79" s="36">
        <f t="shared" si="82"/>
        <v>0.027777777777777</v>
      </c>
      <c r="AE79" s="40"/>
      <c r="AF79" s="32">
        <v>63</v>
      </c>
    </row>
    <row r="80" s="5" customFormat="1" ht="18.75" customHeight="1" spans="1:44">
      <c r="A80" s="50"/>
      <c r="B80" s="49"/>
      <c r="C80" s="50"/>
      <c r="D80" s="50"/>
      <c r="E80" s="52"/>
      <c r="F80" s="52"/>
      <c r="G80" s="52"/>
      <c r="H80" s="50"/>
      <c r="I80" s="49"/>
      <c r="J80" s="50"/>
      <c r="K80" s="82" t="s">
        <v>74</v>
      </c>
      <c r="L80" s="50"/>
      <c r="M80" s="52"/>
      <c r="N80" s="52"/>
      <c r="O80" s="83"/>
      <c r="P80" s="50"/>
      <c r="Q80" s="49"/>
      <c r="R80" s="50"/>
      <c r="S80" s="50"/>
      <c r="T80" s="50"/>
      <c r="U80" s="58"/>
      <c r="V80" s="52"/>
      <c r="W80" s="52"/>
      <c r="X80" s="50"/>
      <c r="Y80" s="49"/>
      <c r="Z80" s="48"/>
      <c r="AA80" s="32"/>
      <c r="AB80" s="53"/>
      <c r="AC80" s="49"/>
      <c r="AD80" s="49"/>
      <c r="AE80" s="52"/>
      <c r="AF80" s="50"/>
      <c r="AG80" s="84" t="s">
        <v>75</v>
      </c>
      <c r="AK80" s="11" t="s">
        <v>10</v>
      </c>
      <c r="AL80" s="11" t="s">
        <v>4</v>
      </c>
      <c r="AM80" s="11" t="s">
        <v>5</v>
      </c>
      <c r="AN80" s="11" t="s">
        <v>6</v>
      </c>
      <c r="AO80" s="11" t="s">
        <v>7</v>
      </c>
      <c r="AP80" s="11" t="s">
        <v>8</v>
      </c>
      <c r="AQ80" s="12" t="s">
        <v>12</v>
      </c>
      <c r="AR80" s="11" t="s">
        <v>13</v>
      </c>
    </row>
    <row r="81" ht="18.75" customHeight="1" spans="1:44">
      <c r="A81" s="17">
        <v>64</v>
      </c>
      <c r="B81" s="18">
        <v>0.885416666666667</v>
      </c>
      <c r="C81" s="32" t="s">
        <v>69</v>
      </c>
      <c r="D81" s="32">
        <v>207</v>
      </c>
      <c r="E81" s="34">
        <v>0.897222222222222</v>
      </c>
      <c r="F81" s="31">
        <v>0.0104166666666667</v>
      </c>
      <c r="G81" s="31">
        <f t="shared" ref="G81:G85" si="84">MOD(F81-E81,1)</f>
        <v>0.113194444444445</v>
      </c>
      <c r="H81" s="85" t="s">
        <v>76</v>
      </c>
      <c r="I81" s="31">
        <f t="shared" ref="I81:I85" si="85">MOD(AM81-F81,1)</f>
        <v>0.159722222222222</v>
      </c>
      <c r="J81" s="32"/>
      <c r="K81" s="32">
        <v>75</v>
      </c>
      <c r="L81" s="32"/>
      <c r="M81" s="31"/>
      <c r="N81" s="31"/>
      <c r="O81" s="86"/>
      <c r="P81" s="87"/>
      <c r="Q81" s="86"/>
      <c r="R81" s="87"/>
      <c r="S81" s="88" t="s">
        <v>77</v>
      </c>
      <c r="T81" s="89"/>
      <c r="U81" s="89"/>
      <c r="V81" s="89"/>
      <c r="W81" s="89"/>
      <c r="X81" s="89"/>
      <c r="Y81" s="89"/>
      <c r="Z81" s="90"/>
      <c r="AA81" s="44"/>
      <c r="AB81" s="23">
        <f t="shared" ref="AB81:AB85" si="86">MOD((AQ81-B81),1)</f>
        <v>0.388888888888889</v>
      </c>
      <c r="AC81" s="36">
        <f t="shared" ref="AC81:AC85" si="87">G81+AG81+AO81</f>
        <v>52.2138888888889</v>
      </c>
      <c r="AD81" s="36">
        <f t="shared" ref="AD81:AD85" si="88">I81</f>
        <v>0.159722222222222</v>
      </c>
      <c r="AE81" s="40"/>
      <c r="AF81" s="32" t="s">
        <v>78</v>
      </c>
      <c r="AG81" s="32">
        <v>52</v>
      </c>
      <c r="AH81" s="32"/>
      <c r="AI81" s="18"/>
      <c r="AJ81" s="32"/>
      <c r="AK81" s="91" t="s">
        <v>76</v>
      </c>
      <c r="AL81" s="32">
        <v>210</v>
      </c>
      <c r="AM81" s="31">
        <v>0.170138888888889</v>
      </c>
      <c r="AN81" s="34">
        <v>0.270833333333333</v>
      </c>
      <c r="AO81" s="31">
        <f t="shared" ref="AO81:AO85" si="89">MOD(AN81-AM81,1)</f>
        <v>0.100694444444444</v>
      </c>
      <c r="AP81" s="32" t="s">
        <v>24</v>
      </c>
      <c r="AQ81" s="18">
        <v>0.274305555555556</v>
      </c>
      <c r="AR81" s="17" t="s">
        <v>52</v>
      </c>
    </row>
    <row r="82" ht="18.75" customHeight="1" spans="1:44">
      <c r="A82" s="17">
        <v>65</v>
      </c>
      <c r="B82" s="18">
        <v>0.895833333333333</v>
      </c>
      <c r="C82" s="32" t="s">
        <v>79</v>
      </c>
      <c r="D82" s="32">
        <v>213</v>
      </c>
      <c r="E82" s="31">
        <v>0.907083333333332</v>
      </c>
      <c r="F82" s="31">
        <v>0.996527777777778</v>
      </c>
      <c r="G82" s="31">
        <f t="shared" si="84"/>
        <v>0.089444444444446</v>
      </c>
      <c r="H82" s="85" t="s">
        <v>80</v>
      </c>
      <c r="I82" s="31">
        <f t="shared" si="85"/>
        <v>0.152777777777778</v>
      </c>
      <c r="J82" s="32"/>
      <c r="K82" s="32">
        <v>55</v>
      </c>
      <c r="L82" s="32"/>
      <c r="M82" s="31"/>
      <c r="N82" s="31"/>
      <c r="O82" s="86"/>
      <c r="P82" s="87"/>
      <c r="Q82" s="86"/>
      <c r="R82" s="87"/>
      <c r="S82" s="92"/>
      <c r="T82" s="2"/>
      <c r="U82" s="2"/>
      <c r="V82" s="2"/>
      <c r="W82" s="2"/>
      <c r="X82" s="2"/>
      <c r="Y82" s="2"/>
      <c r="Z82" s="93"/>
      <c r="AA82" s="44"/>
      <c r="AB82" s="23">
        <f t="shared" si="86"/>
        <v>0.385416666666667</v>
      </c>
      <c r="AC82" s="36">
        <f t="shared" si="87"/>
        <v>65.2179166666667</v>
      </c>
      <c r="AD82" s="36">
        <f t="shared" si="88"/>
        <v>0.152777777777778</v>
      </c>
      <c r="AE82" s="40"/>
      <c r="AF82" s="32" t="s">
        <v>81</v>
      </c>
      <c r="AG82" s="32">
        <v>65</v>
      </c>
      <c r="AH82" s="32"/>
      <c r="AI82" s="91" t="s">
        <v>82</v>
      </c>
      <c r="AJ82" s="32"/>
      <c r="AK82" s="91" t="s">
        <v>80</v>
      </c>
      <c r="AL82" s="32">
        <v>207</v>
      </c>
      <c r="AM82" s="31">
        <v>0.149305555555556</v>
      </c>
      <c r="AN82" s="34">
        <v>0.277777777777778</v>
      </c>
      <c r="AO82" s="31">
        <f t="shared" si="89"/>
        <v>0.128472222222222</v>
      </c>
      <c r="AP82" s="32" t="s">
        <v>83</v>
      </c>
      <c r="AQ82" s="18">
        <v>0.28125</v>
      </c>
      <c r="AR82" s="17" t="s">
        <v>70</v>
      </c>
    </row>
    <row r="83" ht="18.75" customHeight="1" spans="1:44">
      <c r="A83" s="17">
        <v>66</v>
      </c>
      <c r="B83" s="18">
        <v>0.895833333333333</v>
      </c>
      <c r="C83" s="32" t="s">
        <v>45</v>
      </c>
      <c r="D83" s="32">
        <v>203</v>
      </c>
      <c r="E83" s="31">
        <v>0.908333333333333</v>
      </c>
      <c r="F83" s="31">
        <v>0.00694444444444444</v>
      </c>
      <c r="G83" s="31">
        <f t="shared" si="84"/>
        <v>0.0986111111111114</v>
      </c>
      <c r="H83" s="85" t="s">
        <v>69</v>
      </c>
      <c r="I83" s="31">
        <f t="shared" si="85"/>
        <v>0.170138888888889</v>
      </c>
      <c r="J83" s="32"/>
      <c r="K83" s="32">
        <v>58</v>
      </c>
      <c r="L83" s="32"/>
      <c r="M83" s="31"/>
      <c r="N83" s="31"/>
      <c r="O83" s="86"/>
      <c r="P83" s="87"/>
      <c r="Q83" s="86"/>
      <c r="R83" s="87"/>
      <c r="S83" s="92"/>
      <c r="T83" s="2"/>
      <c r="U83" s="2"/>
      <c r="V83" s="2"/>
      <c r="W83" s="2"/>
      <c r="X83" s="2"/>
      <c r="Y83" s="2"/>
      <c r="Z83" s="93"/>
      <c r="AA83" s="44"/>
      <c r="AB83" s="23">
        <f t="shared" si="86"/>
        <v>0.375</v>
      </c>
      <c r="AC83" s="36">
        <f t="shared" si="87"/>
        <v>47.1902777777778</v>
      </c>
      <c r="AD83" s="36">
        <f t="shared" si="88"/>
        <v>0.170138888888889</v>
      </c>
      <c r="AE83" s="40"/>
      <c r="AF83" s="32" t="s">
        <v>84</v>
      </c>
      <c r="AG83" s="32">
        <v>47</v>
      </c>
      <c r="AH83" s="44"/>
      <c r="AI83" s="45"/>
      <c r="AJ83" s="32"/>
      <c r="AK83" s="91" t="s">
        <v>69</v>
      </c>
      <c r="AL83" s="32">
        <v>211</v>
      </c>
      <c r="AM83" s="31">
        <v>0.177083333333333</v>
      </c>
      <c r="AN83" s="34">
        <v>0.26875</v>
      </c>
      <c r="AO83" s="31">
        <f t="shared" si="89"/>
        <v>0.091666666666667</v>
      </c>
      <c r="AP83" s="32" t="s">
        <v>31</v>
      </c>
      <c r="AQ83" s="18">
        <v>0.270833333333333</v>
      </c>
      <c r="AR83" s="17" t="s">
        <v>19</v>
      </c>
    </row>
    <row r="84" ht="18.75" customHeight="1" spans="1:44">
      <c r="A84" s="17">
        <v>67</v>
      </c>
      <c r="B84" s="18">
        <v>0.895833333333333</v>
      </c>
      <c r="C84" s="32" t="s">
        <v>44</v>
      </c>
      <c r="D84" s="32">
        <v>212</v>
      </c>
      <c r="E84" s="31">
        <v>0.908333333333333</v>
      </c>
      <c r="F84" s="31">
        <v>0.0104166666666667</v>
      </c>
      <c r="G84" s="31">
        <f t="shared" si="84"/>
        <v>0.102083333333334</v>
      </c>
      <c r="H84" s="85" t="s">
        <v>85</v>
      </c>
      <c r="I84" s="31">
        <f t="shared" si="85"/>
        <v>0.145833333333333</v>
      </c>
      <c r="J84" s="32"/>
      <c r="K84" s="32">
        <v>62</v>
      </c>
      <c r="L84" s="32"/>
      <c r="M84" s="31"/>
      <c r="N84" s="31"/>
      <c r="O84" s="86"/>
      <c r="P84" s="87"/>
      <c r="Q84" s="86"/>
      <c r="R84" s="87"/>
      <c r="S84" s="92"/>
      <c r="T84" s="2"/>
      <c r="U84" s="2"/>
      <c r="V84" s="2"/>
      <c r="W84" s="2"/>
      <c r="X84" s="2"/>
      <c r="Y84" s="2"/>
      <c r="Z84" s="93"/>
      <c r="AA84" s="44"/>
      <c r="AB84" s="23">
        <f t="shared" si="86"/>
        <v>0.368055555555556</v>
      </c>
      <c r="AC84" s="36">
        <f t="shared" si="87"/>
        <v>51.20625</v>
      </c>
      <c r="AD84" s="36">
        <f t="shared" si="88"/>
        <v>0.145833333333333</v>
      </c>
      <c r="AE84" s="40"/>
      <c r="AF84" s="32" t="s">
        <v>86</v>
      </c>
      <c r="AG84" s="32">
        <v>51</v>
      </c>
      <c r="AH84" s="32"/>
      <c r="AI84" s="91" t="s">
        <v>87</v>
      </c>
      <c r="AJ84" s="32"/>
      <c r="AK84" s="91" t="s">
        <v>85</v>
      </c>
      <c r="AL84" s="32">
        <v>209</v>
      </c>
      <c r="AM84" s="31">
        <v>0.15625</v>
      </c>
      <c r="AN84" s="34">
        <v>0.260416666666667</v>
      </c>
      <c r="AO84" s="31">
        <f t="shared" si="89"/>
        <v>0.104166666666667</v>
      </c>
      <c r="AP84" s="32" t="s">
        <v>88</v>
      </c>
      <c r="AQ84" s="18">
        <v>0.263888888888889</v>
      </c>
      <c r="AR84" s="17" t="s">
        <v>52</v>
      </c>
    </row>
    <row r="85" ht="18.75" customHeight="1" spans="1:44">
      <c r="A85" s="17">
        <v>68</v>
      </c>
      <c r="B85" s="18">
        <v>0.895833333333333</v>
      </c>
      <c r="C85" s="32" t="s">
        <v>45</v>
      </c>
      <c r="D85" s="32">
        <v>220</v>
      </c>
      <c r="E85" s="31">
        <v>0.904166666666667</v>
      </c>
      <c r="F85" s="31">
        <v>0.993055555555555</v>
      </c>
      <c r="G85" s="31">
        <f t="shared" si="84"/>
        <v>0.088888888888888</v>
      </c>
      <c r="H85" s="85" t="s">
        <v>44</v>
      </c>
      <c r="I85" s="31">
        <f t="shared" si="85"/>
        <v>0.159722222222223</v>
      </c>
      <c r="J85" s="32"/>
      <c r="K85" s="32">
        <v>58</v>
      </c>
      <c r="L85" s="32"/>
      <c r="M85" s="31"/>
      <c r="N85" s="31"/>
      <c r="O85" s="86"/>
      <c r="P85" s="87"/>
      <c r="Q85" s="86"/>
      <c r="R85" s="87"/>
      <c r="S85" s="92"/>
      <c r="T85" s="2"/>
      <c r="U85" s="2"/>
      <c r="V85" s="2"/>
      <c r="W85" s="2"/>
      <c r="X85" s="2"/>
      <c r="Y85" s="2"/>
      <c r="Z85" s="93"/>
      <c r="AA85" s="44"/>
      <c r="AB85" s="23">
        <f t="shared" si="86"/>
        <v>0.354166666666667</v>
      </c>
      <c r="AC85" s="36">
        <f t="shared" si="87"/>
        <v>34.1736111111111</v>
      </c>
      <c r="AD85" s="36">
        <f t="shared" si="88"/>
        <v>0.159722222222223</v>
      </c>
      <c r="AE85" s="40"/>
      <c r="AF85" s="32" t="s">
        <v>89</v>
      </c>
      <c r="AG85" s="32">
        <v>34</v>
      </c>
      <c r="AH85" s="32"/>
      <c r="AI85" s="91" t="s">
        <v>90</v>
      </c>
      <c r="AJ85" s="32"/>
      <c r="AK85" s="91" t="s">
        <v>44</v>
      </c>
      <c r="AL85" s="32">
        <v>208</v>
      </c>
      <c r="AM85" s="31">
        <v>0.152777777777778</v>
      </c>
      <c r="AN85" s="34">
        <v>0.2375</v>
      </c>
      <c r="AO85" s="31">
        <f t="shared" si="89"/>
        <v>0.084722222222222</v>
      </c>
      <c r="AP85" s="32" t="s">
        <v>41</v>
      </c>
      <c r="AQ85" s="18">
        <v>0.25</v>
      </c>
      <c r="AR85" s="17" t="s">
        <v>19</v>
      </c>
    </row>
    <row r="86" s="5" customFormat="1" ht="18.75" customHeight="1" spans="1:44">
      <c r="A86" s="50"/>
      <c r="B86" s="49"/>
      <c r="C86" s="50"/>
      <c r="D86" s="50"/>
      <c r="E86" s="50"/>
      <c r="F86" s="50"/>
      <c r="G86" s="52"/>
      <c r="H86" s="94"/>
      <c r="I86" s="52"/>
      <c r="J86" s="50"/>
      <c r="K86" s="50"/>
      <c r="L86" s="50"/>
      <c r="M86" s="52"/>
      <c r="N86" s="52"/>
      <c r="O86" s="64"/>
      <c r="P86" s="64"/>
      <c r="Q86" s="64"/>
      <c r="R86" s="64"/>
      <c r="S86" s="92"/>
      <c r="T86" s="2"/>
      <c r="U86" s="2"/>
      <c r="V86" s="2"/>
      <c r="W86" s="2"/>
      <c r="X86" s="2"/>
      <c r="Y86" s="2"/>
      <c r="Z86" s="93"/>
      <c r="AA86" s="64"/>
      <c r="AB86" s="53"/>
      <c r="AC86" s="49"/>
      <c r="AD86" s="49"/>
      <c r="AE86" s="52"/>
      <c r="AF86" s="50"/>
      <c r="AG86" s="50"/>
      <c r="AH86" s="50"/>
      <c r="AI86" s="95"/>
      <c r="AJ86" s="50"/>
      <c r="AK86" s="95"/>
      <c r="AL86" s="50"/>
      <c r="AM86" s="50"/>
      <c r="AN86" s="50"/>
      <c r="AO86" s="50"/>
      <c r="AP86" s="50"/>
      <c r="AQ86" s="49"/>
      <c r="AR86" s="48"/>
    </row>
    <row r="87" ht="18.75" customHeight="1" spans="1:44">
      <c r="A87" s="17">
        <v>69</v>
      </c>
      <c r="B87" s="18">
        <v>0.878472222222222</v>
      </c>
      <c r="C87" s="32" t="s">
        <v>24</v>
      </c>
      <c r="D87" s="32">
        <v>221</v>
      </c>
      <c r="E87" s="34">
        <v>0.890277777777778</v>
      </c>
      <c r="F87" s="31">
        <v>0.965277777777778</v>
      </c>
      <c r="G87" s="31">
        <f t="shared" ref="G87:G95" si="90">MOD(F87-E87,1)</f>
        <v>0.0750000000000001</v>
      </c>
      <c r="H87" s="85" t="s">
        <v>91</v>
      </c>
      <c r="I87" s="31">
        <f t="shared" ref="I87:I95" si="91">MOD(AM87-F87,1)</f>
        <v>0.305555555555555</v>
      </c>
      <c r="J87" s="32"/>
      <c r="K87" s="32">
        <v>51</v>
      </c>
      <c r="L87" s="59"/>
      <c r="M87" s="31"/>
      <c r="N87" s="31"/>
      <c r="O87" s="86"/>
      <c r="P87" s="87"/>
      <c r="Q87" s="86"/>
      <c r="R87" s="87"/>
      <c r="S87" s="92"/>
      <c r="T87" s="2"/>
      <c r="U87" s="2"/>
      <c r="V87" s="2"/>
      <c r="W87" s="2"/>
      <c r="X87" s="2"/>
      <c r="Y87" s="2"/>
      <c r="Z87" s="93"/>
      <c r="AA87" s="44"/>
      <c r="AB87" s="23">
        <f t="shared" ref="AB87:AB95" si="92">MOD((AQ87-B87),1)</f>
        <v>0.434027777777778</v>
      </c>
      <c r="AC87" s="36">
        <f>G87+AO87</f>
        <v>0.114583333333333</v>
      </c>
      <c r="AD87" s="36">
        <f t="shared" ref="AD87:AD95" si="93">I87</f>
        <v>0.305555555555555</v>
      </c>
      <c r="AE87" s="40"/>
      <c r="AF87" s="17" t="s">
        <v>92</v>
      </c>
      <c r="AG87" s="32">
        <v>7</v>
      </c>
      <c r="AH87" s="32"/>
      <c r="AI87" s="91"/>
      <c r="AJ87" s="32"/>
      <c r="AK87" s="91" t="s">
        <v>91</v>
      </c>
      <c r="AL87" s="32">
        <v>217</v>
      </c>
      <c r="AM87" s="31">
        <v>0.270833333333333</v>
      </c>
      <c r="AN87" s="34">
        <v>0.310416666666666</v>
      </c>
      <c r="AO87" s="31">
        <f t="shared" ref="AO87:AO95" si="94">MOD(AN87-AM87,1)</f>
        <v>0.039583333333333</v>
      </c>
      <c r="AP87" s="32" t="s">
        <v>31</v>
      </c>
      <c r="AQ87" s="18">
        <v>0.3125</v>
      </c>
      <c r="AR87" s="17" t="s">
        <v>19</v>
      </c>
    </row>
    <row r="88" ht="18.75" customHeight="1" spans="1:44">
      <c r="A88" s="17">
        <v>70</v>
      </c>
      <c r="B88" s="18">
        <v>0.885416666666667</v>
      </c>
      <c r="C88" s="32" t="s">
        <v>24</v>
      </c>
      <c r="D88" s="32">
        <v>208</v>
      </c>
      <c r="E88" s="34">
        <v>0.897222222222222</v>
      </c>
      <c r="F88" s="31">
        <v>0.00694444444444444</v>
      </c>
      <c r="G88" s="31">
        <f t="shared" si="90"/>
        <v>0.109722222222222</v>
      </c>
      <c r="H88" s="85" t="s">
        <v>93</v>
      </c>
      <c r="I88" s="31">
        <f t="shared" si="91"/>
        <v>0.229166666666667</v>
      </c>
      <c r="J88" s="32"/>
      <c r="K88" s="32">
        <v>61</v>
      </c>
      <c r="L88" s="32"/>
      <c r="M88" s="31"/>
      <c r="N88" s="31"/>
      <c r="O88" s="86"/>
      <c r="P88" s="87"/>
      <c r="Q88" s="86"/>
      <c r="R88" s="87"/>
      <c r="S88" s="92"/>
      <c r="T88" s="2"/>
      <c r="U88" s="2"/>
      <c r="V88" s="2"/>
      <c r="W88" s="2"/>
      <c r="X88" s="2"/>
      <c r="Y88" s="2"/>
      <c r="Z88" s="93"/>
      <c r="AA88" s="44"/>
      <c r="AB88" s="23">
        <f t="shared" si="92"/>
        <v>0.40625</v>
      </c>
      <c r="AC88" s="36">
        <f>G88</f>
        <v>0.109722222222222</v>
      </c>
      <c r="AD88" s="36">
        <f t="shared" si="93"/>
        <v>0.229166666666667</v>
      </c>
      <c r="AE88" s="40"/>
      <c r="AF88" s="17" t="s">
        <v>94</v>
      </c>
      <c r="AG88" s="32">
        <v>29</v>
      </c>
      <c r="AH88" s="32"/>
      <c r="AI88" s="91"/>
      <c r="AJ88" s="32"/>
      <c r="AK88" s="32" t="s">
        <v>41</v>
      </c>
      <c r="AL88" s="59">
        <v>208</v>
      </c>
      <c r="AM88" s="34">
        <v>0.236111111111111</v>
      </c>
      <c r="AN88" s="31">
        <v>0.288194444444444</v>
      </c>
      <c r="AO88" s="31">
        <f t="shared" si="94"/>
        <v>0.052083333333333</v>
      </c>
      <c r="AP88" s="32" t="s">
        <v>83</v>
      </c>
      <c r="AQ88" s="18">
        <v>0.291666666666667</v>
      </c>
      <c r="AR88" s="17" t="s">
        <v>70</v>
      </c>
    </row>
    <row r="89" ht="18.75" customHeight="1" spans="1:44">
      <c r="A89" s="17">
        <v>71</v>
      </c>
      <c r="B89" s="18">
        <v>0.888888888888889</v>
      </c>
      <c r="C89" s="32" t="s">
        <v>31</v>
      </c>
      <c r="D89" s="32">
        <v>210</v>
      </c>
      <c r="E89" s="34">
        <v>0.898611111111111</v>
      </c>
      <c r="F89" s="31">
        <v>0.996527777777778</v>
      </c>
      <c r="G89" s="31">
        <f t="shared" si="90"/>
        <v>0.097916666666667</v>
      </c>
      <c r="H89" s="85" t="s">
        <v>95</v>
      </c>
      <c r="I89" s="31">
        <f t="shared" si="91"/>
        <v>0.149305555555555</v>
      </c>
      <c r="J89" s="32"/>
      <c r="K89" s="32">
        <v>64</v>
      </c>
      <c r="L89" s="32"/>
      <c r="M89" s="31"/>
      <c r="N89" s="31"/>
      <c r="O89" s="86"/>
      <c r="P89" s="87"/>
      <c r="Q89" s="86"/>
      <c r="R89" s="87"/>
      <c r="S89" s="92"/>
      <c r="T89" s="2"/>
      <c r="U89" s="2"/>
      <c r="V89" s="2"/>
      <c r="W89" s="2"/>
      <c r="X89" s="2"/>
      <c r="Y89" s="2"/>
      <c r="Z89" s="93"/>
      <c r="AA89" s="44"/>
      <c r="AB89" s="23">
        <f t="shared" si="92"/>
        <v>0.378472222222222</v>
      </c>
      <c r="AC89" s="36">
        <f t="shared" ref="AC89:AC95" si="95">G89+AG89+AO89</f>
        <v>59.2145833333333</v>
      </c>
      <c r="AD89" s="36">
        <f t="shared" si="93"/>
        <v>0.149305555555555</v>
      </c>
      <c r="AE89" s="40"/>
      <c r="AF89" s="17" t="s">
        <v>96</v>
      </c>
      <c r="AG89" s="32">
        <v>59</v>
      </c>
      <c r="AH89" s="32"/>
      <c r="AI89" s="91" t="s">
        <v>82</v>
      </c>
      <c r="AJ89" s="32"/>
      <c r="AK89" s="91" t="s">
        <v>95</v>
      </c>
      <c r="AL89" s="32">
        <v>202</v>
      </c>
      <c r="AM89" s="31">
        <v>0.145833333333333</v>
      </c>
      <c r="AN89" s="31">
        <v>0.2625</v>
      </c>
      <c r="AO89" s="31">
        <f t="shared" si="94"/>
        <v>0.116666666666667</v>
      </c>
      <c r="AP89" s="32" t="s">
        <v>30</v>
      </c>
      <c r="AQ89" s="18">
        <v>0.267361111111111</v>
      </c>
      <c r="AR89" s="17" t="s">
        <v>19</v>
      </c>
    </row>
    <row r="90" ht="18.75" customHeight="1" spans="1:44">
      <c r="A90" s="17">
        <v>72</v>
      </c>
      <c r="B90" s="18">
        <v>0.888888888888889</v>
      </c>
      <c r="C90" s="32" t="s">
        <v>79</v>
      </c>
      <c r="D90" s="32">
        <v>202</v>
      </c>
      <c r="E90" s="31">
        <v>0.900833333333333</v>
      </c>
      <c r="F90" s="31">
        <v>0.0138888888888889</v>
      </c>
      <c r="G90" s="31">
        <f t="shared" si="90"/>
        <v>0.113055555555556</v>
      </c>
      <c r="H90" s="85" t="s">
        <v>97</v>
      </c>
      <c r="I90" s="31">
        <f t="shared" si="91"/>
        <v>0.159722222222222</v>
      </c>
      <c r="J90" s="32"/>
      <c r="K90" s="32">
        <v>75</v>
      </c>
      <c r="L90" s="32"/>
      <c r="M90" s="31"/>
      <c r="N90" s="31"/>
      <c r="O90" s="86"/>
      <c r="P90" s="87"/>
      <c r="Q90" s="86"/>
      <c r="R90" s="87"/>
      <c r="S90" s="92"/>
      <c r="T90" s="2"/>
      <c r="U90" s="2"/>
      <c r="V90" s="2"/>
      <c r="W90" s="2"/>
      <c r="X90" s="2"/>
      <c r="Y90" s="2"/>
      <c r="Z90" s="93"/>
      <c r="AA90" s="44"/>
      <c r="AB90" s="23">
        <f t="shared" si="92"/>
        <v>0.385416666666667</v>
      </c>
      <c r="AC90" s="36">
        <f t="shared" si="95"/>
        <v>51.2088888888889</v>
      </c>
      <c r="AD90" s="36">
        <f t="shared" si="93"/>
        <v>0.159722222222222</v>
      </c>
      <c r="AE90" s="40"/>
      <c r="AF90" s="96" t="s">
        <v>98</v>
      </c>
      <c r="AG90" s="32">
        <v>51</v>
      </c>
      <c r="AH90" s="32"/>
      <c r="AI90" s="91"/>
      <c r="AJ90" s="32"/>
      <c r="AK90" s="91" t="s">
        <v>97</v>
      </c>
      <c r="AL90" s="32">
        <v>204</v>
      </c>
      <c r="AM90" s="31">
        <v>0.173611111111111</v>
      </c>
      <c r="AN90" s="31">
        <v>0.269444444444444</v>
      </c>
      <c r="AO90" s="31">
        <f t="shared" si="94"/>
        <v>0.095833333333333</v>
      </c>
      <c r="AP90" s="32" t="s">
        <v>37</v>
      </c>
      <c r="AQ90" s="18">
        <v>0.274305555555556</v>
      </c>
      <c r="AR90" s="17" t="s">
        <v>52</v>
      </c>
    </row>
    <row r="91" ht="18.75" customHeight="1" spans="1:44">
      <c r="A91" s="17">
        <v>73</v>
      </c>
      <c r="B91" s="18">
        <v>0.892361111111111</v>
      </c>
      <c r="C91" s="32" t="s">
        <v>24</v>
      </c>
      <c r="D91" s="32">
        <v>206</v>
      </c>
      <c r="E91" s="34">
        <v>0.904166666666667</v>
      </c>
      <c r="F91" s="31">
        <v>0.0104166666666667</v>
      </c>
      <c r="G91" s="31">
        <f t="shared" si="90"/>
        <v>0.10625</v>
      </c>
      <c r="H91" s="85" t="s">
        <v>99</v>
      </c>
      <c r="I91" s="31">
        <f t="shared" si="91"/>
        <v>0.142361111111111</v>
      </c>
      <c r="J91" s="32"/>
      <c r="K91" s="32">
        <v>66</v>
      </c>
      <c r="L91" s="32"/>
      <c r="M91" s="31"/>
      <c r="N91" s="31"/>
      <c r="O91" s="86"/>
      <c r="P91" s="87"/>
      <c r="Q91" s="86"/>
      <c r="R91" s="87"/>
      <c r="S91" s="92"/>
      <c r="T91" s="2"/>
      <c r="U91" s="2"/>
      <c r="V91" s="2"/>
      <c r="W91" s="2"/>
      <c r="X91" s="2"/>
      <c r="Y91" s="2"/>
      <c r="Z91" s="93"/>
      <c r="AA91" s="44"/>
      <c r="AB91" s="23">
        <f t="shared" si="92"/>
        <v>0.385416666666667</v>
      </c>
      <c r="AC91" s="36">
        <f t="shared" si="95"/>
        <v>58.2291666666667</v>
      </c>
      <c r="AD91" s="36">
        <f t="shared" si="93"/>
        <v>0.142361111111111</v>
      </c>
      <c r="AE91" s="40"/>
      <c r="AF91" s="17" t="s">
        <v>100</v>
      </c>
      <c r="AG91" s="32">
        <v>58</v>
      </c>
      <c r="AH91" s="32"/>
      <c r="AI91" s="91"/>
      <c r="AJ91" s="32"/>
      <c r="AK91" s="91" t="s">
        <v>99</v>
      </c>
      <c r="AL91" s="32">
        <v>201</v>
      </c>
      <c r="AM91" s="31">
        <v>0.152777777777778</v>
      </c>
      <c r="AN91" s="31">
        <v>0.275694444444444</v>
      </c>
      <c r="AO91" s="31">
        <f t="shared" si="94"/>
        <v>0.122916666666666</v>
      </c>
      <c r="AP91" s="32" t="s">
        <v>41</v>
      </c>
      <c r="AQ91" s="18">
        <v>0.277777777777778</v>
      </c>
      <c r="AR91" s="17" t="s">
        <v>19</v>
      </c>
    </row>
    <row r="92" ht="18.75" customHeight="1" spans="1:44">
      <c r="A92" s="17">
        <v>74</v>
      </c>
      <c r="B92" s="18">
        <v>0.895833333333333</v>
      </c>
      <c r="C92" s="32" t="s">
        <v>31</v>
      </c>
      <c r="D92" s="32">
        <v>215</v>
      </c>
      <c r="E92" s="34">
        <v>0.905555555555556</v>
      </c>
      <c r="F92" s="31">
        <v>0.0104166666666667</v>
      </c>
      <c r="G92" s="31">
        <f t="shared" si="90"/>
        <v>0.104861111111111</v>
      </c>
      <c r="H92" s="85" t="s">
        <v>101</v>
      </c>
      <c r="I92" s="31">
        <f t="shared" si="91"/>
        <v>0.15625</v>
      </c>
      <c r="J92" s="32"/>
      <c r="K92" s="32">
        <v>64</v>
      </c>
      <c r="L92" s="32"/>
      <c r="M92" s="31"/>
      <c r="N92" s="31"/>
      <c r="O92" s="86"/>
      <c r="P92" s="87"/>
      <c r="Q92" s="86"/>
      <c r="R92" s="87"/>
      <c r="S92" s="92"/>
      <c r="T92" s="2"/>
      <c r="U92" s="2"/>
      <c r="V92" s="2"/>
      <c r="W92" s="2"/>
      <c r="X92" s="2"/>
      <c r="Y92" s="2"/>
      <c r="Z92" s="93"/>
      <c r="AA92" s="44"/>
      <c r="AB92" s="23">
        <f t="shared" si="92"/>
        <v>0.385416666666667</v>
      </c>
      <c r="AC92" s="36">
        <f t="shared" si="95"/>
        <v>55.2166666666667</v>
      </c>
      <c r="AD92" s="36">
        <f t="shared" si="93"/>
        <v>0.15625</v>
      </c>
      <c r="AE92" s="40"/>
      <c r="AF92" s="17" t="s">
        <v>102</v>
      </c>
      <c r="AG92" s="32">
        <v>55</v>
      </c>
      <c r="AH92" s="32"/>
      <c r="AI92" s="91"/>
      <c r="AJ92" s="32"/>
      <c r="AK92" s="91" t="s">
        <v>101</v>
      </c>
      <c r="AL92" s="32">
        <v>205</v>
      </c>
      <c r="AM92" s="31">
        <v>0.166666666666667</v>
      </c>
      <c r="AN92" s="31">
        <v>0.278472222222222</v>
      </c>
      <c r="AO92" s="31">
        <f t="shared" si="94"/>
        <v>0.111805555555555</v>
      </c>
      <c r="AP92" s="32" t="s">
        <v>45</v>
      </c>
      <c r="AQ92" s="18">
        <v>0.28125</v>
      </c>
      <c r="AR92" s="17" t="s">
        <v>52</v>
      </c>
    </row>
    <row r="93" ht="18.75" customHeight="1" spans="1:44">
      <c r="A93" s="17">
        <v>75</v>
      </c>
      <c r="B93" s="18">
        <v>0.902777777777778</v>
      </c>
      <c r="C93" s="32" t="s">
        <v>31</v>
      </c>
      <c r="D93" s="32">
        <v>217</v>
      </c>
      <c r="E93" s="34">
        <v>0.9125</v>
      </c>
      <c r="F93" s="31">
        <v>0.00347222222222222</v>
      </c>
      <c r="G93" s="31">
        <f t="shared" si="90"/>
        <v>0.0909722222222222</v>
      </c>
      <c r="H93" s="85" t="s">
        <v>103</v>
      </c>
      <c r="I93" s="31">
        <f t="shared" si="91"/>
        <v>0.152777777777778</v>
      </c>
      <c r="J93" s="32"/>
      <c r="K93" s="32">
        <v>62</v>
      </c>
      <c r="L93" s="32"/>
      <c r="M93" s="31"/>
      <c r="N93" s="31"/>
      <c r="O93" s="86"/>
      <c r="P93" s="87"/>
      <c r="Q93" s="86"/>
      <c r="R93" s="87"/>
      <c r="S93" s="92"/>
      <c r="T93" s="2"/>
      <c r="U93" s="2"/>
      <c r="V93" s="2"/>
      <c r="W93" s="2"/>
      <c r="X93" s="2"/>
      <c r="Y93" s="2"/>
      <c r="Z93" s="93"/>
      <c r="AA93" s="44"/>
      <c r="AB93" s="23">
        <f t="shared" si="92"/>
        <v>0.375</v>
      </c>
      <c r="AC93" s="36">
        <f t="shared" si="95"/>
        <v>62.2076388888889</v>
      </c>
      <c r="AD93" s="36">
        <f t="shared" si="93"/>
        <v>0.152777777777778</v>
      </c>
      <c r="AE93" s="40"/>
      <c r="AF93" s="17" t="s">
        <v>104</v>
      </c>
      <c r="AG93" s="32">
        <v>62</v>
      </c>
      <c r="AH93" s="32"/>
      <c r="AI93" s="91" t="s">
        <v>105</v>
      </c>
      <c r="AJ93" s="32"/>
      <c r="AK93" s="91" t="s">
        <v>103</v>
      </c>
      <c r="AL93" s="32">
        <v>203</v>
      </c>
      <c r="AM93" s="31">
        <v>0.15625</v>
      </c>
      <c r="AN93" s="31">
        <v>0.272916666666667</v>
      </c>
      <c r="AO93" s="31">
        <f t="shared" si="94"/>
        <v>0.116666666666667</v>
      </c>
      <c r="AP93" s="32" t="s">
        <v>30</v>
      </c>
      <c r="AQ93" s="18">
        <v>0.277777777777778</v>
      </c>
      <c r="AR93" s="17" t="s">
        <v>19</v>
      </c>
    </row>
    <row r="94" ht="18.75" customHeight="1" spans="1:44">
      <c r="A94" s="17">
        <v>76</v>
      </c>
      <c r="B94" s="18">
        <v>0.902777777777778</v>
      </c>
      <c r="C94" s="32" t="s">
        <v>79</v>
      </c>
      <c r="D94" s="32">
        <v>223</v>
      </c>
      <c r="E94" s="31">
        <v>0.912638888888888</v>
      </c>
      <c r="F94" s="31">
        <v>0.944444444444445</v>
      </c>
      <c r="G94" s="31">
        <f t="shared" si="90"/>
        <v>0.031805555555557</v>
      </c>
      <c r="H94" s="85" t="s">
        <v>50</v>
      </c>
      <c r="I94" s="31">
        <f t="shared" si="91"/>
        <v>0.270833333333333</v>
      </c>
      <c r="J94" s="32"/>
      <c r="K94" s="32">
        <v>4</v>
      </c>
      <c r="L94" s="85" t="s">
        <v>106</v>
      </c>
      <c r="M94" s="31"/>
      <c r="N94" s="31"/>
      <c r="O94" s="86"/>
      <c r="P94" s="87"/>
      <c r="Q94" s="86"/>
      <c r="R94" s="87"/>
      <c r="S94" s="92"/>
      <c r="T94" s="2"/>
      <c r="U94" s="2"/>
      <c r="V94" s="2"/>
      <c r="W94" s="2"/>
      <c r="X94" s="2"/>
      <c r="Y94" s="2"/>
      <c r="Z94" s="93"/>
      <c r="AA94" s="44"/>
      <c r="AB94" s="23">
        <f t="shared" si="92"/>
        <v>0.381944444444444</v>
      </c>
      <c r="AC94" s="36">
        <f t="shared" si="95"/>
        <v>14.0991666666667</v>
      </c>
      <c r="AD94" s="36">
        <f t="shared" si="93"/>
        <v>0.270833333333333</v>
      </c>
      <c r="AE94" s="40"/>
      <c r="AF94" s="96" t="s">
        <v>107</v>
      </c>
      <c r="AG94" s="32">
        <v>14</v>
      </c>
      <c r="AH94" s="32"/>
      <c r="AI94" s="18"/>
      <c r="AJ94" s="32"/>
      <c r="AK94" s="91" t="s">
        <v>108</v>
      </c>
      <c r="AL94" s="32">
        <v>206</v>
      </c>
      <c r="AM94" s="31">
        <v>0.215277777777778</v>
      </c>
      <c r="AN94" s="34">
        <v>0.282638888888889</v>
      </c>
      <c r="AO94" s="31">
        <f t="shared" si="94"/>
        <v>0.067361111111111</v>
      </c>
      <c r="AP94" s="32" t="s">
        <v>31</v>
      </c>
      <c r="AQ94" s="18">
        <v>0.284722222222222</v>
      </c>
      <c r="AR94" s="17" t="s">
        <v>19</v>
      </c>
    </row>
    <row r="95" ht="18.75" customHeight="1" spans="1:44">
      <c r="A95" s="17">
        <v>77</v>
      </c>
      <c r="B95" s="18">
        <v>0.902777777777778</v>
      </c>
      <c r="C95" s="32" t="s">
        <v>45</v>
      </c>
      <c r="D95" s="32">
        <v>204</v>
      </c>
      <c r="E95" s="31">
        <v>0.913888888888889</v>
      </c>
      <c r="F95" s="31">
        <v>0.979166666666667</v>
      </c>
      <c r="G95" s="31">
        <f t="shared" si="90"/>
        <v>0.065277777777778</v>
      </c>
      <c r="H95" s="85" t="s">
        <v>93</v>
      </c>
      <c r="I95" s="31">
        <f t="shared" si="91"/>
        <v>0.25</v>
      </c>
      <c r="J95" s="32"/>
      <c r="K95" s="32">
        <v>15</v>
      </c>
      <c r="L95" s="32"/>
      <c r="M95" s="31"/>
      <c r="N95" s="31"/>
      <c r="O95" s="86"/>
      <c r="P95" s="87"/>
      <c r="Q95" s="86"/>
      <c r="R95" s="87"/>
      <c r="S95" s="97"/>
      <c r="T95" s="98"/>
      <c r="U95" s="98"/>
      <c r="V95" s="98"/>
      <c r="W95" s="98"/>
      <c r="X95" s="98"/>
      <c r="Y95" s="98"/>
      <c r="Z95" s="99"/>
      <c r="AA95" s="44"/>
      <c r="AB95" s="23">
        <f t="shared" si="92"/>
        <v>0.392361111111111</v>
      </c>
      <c r="AC95" s="36">
        <f t="shared" si="95"/>
        <v>0.127777777777778</v>
      </c>
      <c r="AD95" s="36">
        <f t="shared" si="93"/>
        <v>0.25</v>
      </c>
      <c r="AE95" s="40"/>
      <c r="AF95" s="96" t="s">
        <v>109</v>
      </c>
      <c r="AG95" s="32"/>
      <c r="AH95" s="32"/>
      <c r="AI95" s="59" t="s">
        <v>110</v>
      </c>
      <c r="AJ95" s="32"/>
      <c r="AK95" s="100" t="s">
        <v>111</v>
      </c>
      <c r="AL95" s="100"/>
      <c r="AM95" s="31">
        <v>0.229166666666667</v>
      </c>
      <c r="AN95" s="31">
        <v>0.291666666666667</v>
      </c>
      <c r="AO95" s="31">
        <f t="shared" si="94"/>
        <v>0.0625</v>
      </c>
      <c r="AP95" s="32" t="s">
        <v>112</v>
      </c>
      <c r="AQ95" s="18">
        <v>0.295138888888889</v>
      </c>
      <c r="AR95" s="17" t="s">
        <v>19</v>
      </c>
    </row>
    <row r="96" s="5" customFormat="1" ht="18.75" customHeight="1" spans="1:44">
      <c r="A96" s="50"/>
      <c r="B96" s="50"/>
      <c r="C96" s="50"/>
      <c r="D96" s="50"/>
      <c r="E96" s="52"/>
      <c r="F96" s="52"/>
      <c r="G96" s="52"/>
      <c r="H96" s="50"/>
      <c r="I96" s="52"/>
      <c r="J96" s="50"/>
      <c r="K96" s="50"/>
      <c r="L96" s="50"/>
      <c r="M96" s="52"/>
      <c r="N96" s="52"/>
      <c r="O96" s="52"/>
      <c r="P96" s="50"/>
      <c r="Q96" s="95"/>
      <c r="R96" s="50"/>
      <c r="S96" s="50"/>
      <c r="T96" s="50"/>
      <c r="U96" s="52"/>
      <c r="V96" s="52"/>
      <c r="W96" s="52"/>
      <c r="X96" s="50"/>
      <c r="Y96" s="49"/>
      <c r="Z96" s="48"/>
      <c r="AA96" s="69"/>
      <c r="AB96" s="53"/>
      <c r="AC96" s="49"/>
      <c r="AD96" s="49"/>
      <c r="AE96" s="52"/>
      <c r="AF96" s="50"/>
    </row>
    <row r="97" ht="18.75" customHeight="1" spans="1:32">
      <c r="A97" s="17">
        <v>78</v>
      </c>
      <c r="B97" s="18">
        <v>0.895833333333333</v>
      </c>
      <c r="C97" s="32" t="s">
        <v>19</v>
      </c>
      <c r="D97" s="32" t="s">
        <v>113</v>
      </c>
      <c r="E97" s="29"/>
      <c r="F97" s="29"/>
      <c r="G97" s="31"/>
      <c r="H97" s="32"/>
      <c r="I97" s="32"/>
      <c r="J97" s="32"/>
      <c r="K97" s="32"/>
      <c r="L97" s="32"/>
      <c r="M97" s="32"/>
      <c r="N97" s="32"/>
      <c r="O97" s="32"/>
      <c r="P97" s="32"/>
      <c r="Q97" s="22"/>
      <c r="R97" s="32"/>
      <c r="S97" s="31"/>
      <c r="T97" s="32" t="s">
        <v>113</v>
      </c>
      <c r="U97" s="31"/>
      <c r="V97" s="31"/>
      <c r="W97" s="18"/>
      <c r="X97" s="31"/>
      <c r="Y97" s="29">
        <v>0.270833333333333</v>
      </c>
      <c r="Z97" s="17" t="s">
        <v>19</v>
      </c>
      <c r="AA97" s="32"/>
      <c r="AB97" s="23">
        <f>MOD((Y97-B97),1)</f>
        <v>0.375</v>
      </c>
      <c r="AC97" s="36">
        <v>0</v>
      </c>
      <c r="AD97" s="36"/>
      <c r="AE97" s="36"/>
      <c r="AF97" s="32" t="s">
        <v>114</v>
      </c>
    </row>
    <row r="98" ht="18.75" customHeight="1" spans="1:32">
      <c r="A98" s="17">
        <v>79</v>
      </c>
      <c r="B98" s="18">
        <v>0.895833333333333</v>
      </c>
      <c r="C98" s="32" t="s">
        <v>61</v>
      </c>
      <c r="D98" s="32" t="s">
        <v>115</v>
      </c>
      <c r="E98" s="31"/>
      <c r="F98" s="31"/>
      <c r="G98" s="31"/>
      <c r="H98" s="32"/>
      <c r="I98" s="32"/>
      <c r="J98" s="32"/>
      <c r="K98" s="32"/>
      <c r="L98" s="32"/>
      <c r="M98" s="32"/>
      <c r="N98" s="32"/>
      <c r="O98" s="32"/>
      <c r="P98" s="32"/>
      <c r="Q98" s="22"/>
      <c r="R98" s="32"/>
      <c r="S98" s="31"/>
      <c r="T98" s="32" t="s">
        <v>115</v>
      </c>
      <c r="U98" s="31"/>
      <c r="V98" s="31"/>
      <c r="W98" s="18"/>
      <c r="X98" s="31"/>
      <c r="Y98" s="29">
        <v>0.270833333333333</v>
      </c>
      <c r="Z98" s="17" t="s">
        <v>19</v>
      </c>
      <c r="AA98" s="32"/>
      <c r="AB98" s="23">
        <f>MOD((Y98-B98),1)</f>
        <v>0.375</v>
      </c>
      <c r="AC98" s="36">
        <v>0</v>
      </c>
      <c r="AD98" s="36"/>
      <c r="AE98" s="36"/>
      <c r="AF98" s="32" t="s">
        <v>114</v>
      </c>
    </row>
    <row r="99" ht="21" customHeight="1" spans="1:32">
      <c r="A99" s="101"/>
      <c r="B99" s="102"/>
      <c r="C99" s="101"/>
      <c r="D99" s="101"/>
      <c r="E99" s="103"/>
      <c r="F99" s="103"/>
      <c r="G99" s="103"/>
      <c r="H99" s="101"/>
      <c r="I99" s="103"/>
      <c r="J99" s="101"/>
      <c r="K99" s="101"/>
      <c r="L99" s="101"/>
      <c r="M99" s="103"/>
      <c r="N99" s="103"/>
      <c r="O99" s="103"/>
      <c r="P99" s="101"/>
      <c r="Q99" s="103"/>
      <c r="R99" s="101"/>
      <c r="S99" s="101"/>
      <c r="T99" s="101"/>
      <c r="U99" s="103"/>
      <c r="V99" s="103"/>
      <c r="W99" s="103"/>
      <c r="X99" s="101"/>
      <c r="Y99" s="103"/>
      <c r="Z99" s="104" t="s">
        <v>116</v>
      </c>
      <c r="AA99" s="105"/>
      <c r="AB99" s="106">
        <f t="shared" ref="AB99:AE99" si="96">AVERAGE(AB16:AB98)</f>
        <v>0.325422794117647</v>
      </c>
      <c r="AC99" s="106">
        <f t="shared" si="96"/>
        <v>8.25815359477124</v>
      </c>
      <c r="AD99" s="106">
        <f t="shared" si="96"/>
        <v>0.0834266493055555</v>
      </c>
      <c r="AE99" s="106">
        <f t="shared" si="96"/>
        <v>0.0849404761904756</v>
      </c>
      <c r="AF99" s="107"/>
    </row>
    <row r="100" s="7" customFormat="1" spans="1:32">
      <c r="A100" s="8"/>
      <c r="B100" s="27"/>
      <c r="J100" s="8"/>
      <c r="K100" s="8"/>
      <c r="L100" s="8"/>
      <c r="P100" s="8"/>
      <c r="R100" s="8"/>
      <c r="S100" s="8"/>
      <c r="T100" s="8"/>
      <c r="X100" s="8"/>
      <c r="Z100" s="8"/>
      <c r="AA100" s="9"/>
      <c r="AF100" s="2"/>
    </row>
    <row r="101" s="7" customFormat="1" spans="1:32">
      <c r="A101" s="8"/>
      <c r="B101" s="27"/>
      <c r="J101" s="8"/>
      <c r="K101" s="8"/>
      <c r="L101" s="8"/>
      <c r="P101" s="8"/>
      <c r="R101" s="8"/>
      <c r="S101" s="8"/>
      <c r="T101" s="8"/>
      <c r="X101" s="8"/>
      <c r="Z101" s="8"/>
      <c r="AA101" s="9"/>
      <c r="AF101" s="2"/>
    </row>
    <row r="102" s="7" customFormat="1" spans="1:32">
      <c r="A102" s="8"/>
      <c r="B102" s="27"/>
      <c r="J102" s="8"/>
      <c r="K102" s="8"/>
      <c r="L102" s="8"/>
      <c r="P102" s="8"/>
      <c r="R102" s="8"/>
      <c r="S102" s="8"/>
      <c r="T102" s="8"/>
      <c r="X102" s="8"/>
      <c r="Z102" s="8"/>
      <c r="AA102" s="9"/>
      <c r="AF102" s="2"/>
    </row>
    <row r="103" s="7" customFormat="1" spans="1:32">
      <c r="A103" s="8"/>
      <c r="B103" s="27"/>
      <c r="J103" s="8"/>
      <c r="K103" s="8"/>
      <c r="L103" s="8"/>
      <c r="P103" s="8"/>
      <c r="R103" s="8"/>
      <c r="S103" s="8"/>
      <c r="T103" s="8"/>
      <c r="X103" s="8"/>
      <c r="Z103" s="8"/>
      <c r="AA103" s="9"/>
      <c r="AF103" s="2"/>
    </row>
    <row r="104" s="7" customFormat="1" spans="1:32">
      <c r="A104" s="8"/>
      <c r="B104" s="27"/>
      <c r="J104" s="8"/>
      <c r="K104" s="8"/>
      <c r="L104" s="8"/>
      <c r="P104" s="8"/>
      <c r="R104" s="8"/>
      <c r="S104" s="8"/>
      <c r="T104" s="8"/>
      <c r="X104" s="8"/>
      <c r="Z104" s="8"/>
      <c r="AA104" s="9"/>
      <c r="AF104" s="2"/>
    </row>
    <row r="105" spans="1:32">
      <c r="B105" s="27"/>
    </row>
    <row r="106" spans="1:32">
      <c r="B106" s="27"/>
    </row>
    <row r="107" spans="1:32">
      <c r="B107" s="27"/>
    </row>
    <row r="108" spans="1:32">
      <c r="B108" s="27"/>
    </row>
    <row r="109" s="7" customFormat="1" spans="1:32">
      <c r="A109" s="8"/>
      <c r="B109" s="27"/>
      <c r="D109" s="8"/>
      <c r="J109" s="8"/>
      <c r="K109" s="8"/>
      <c r="L109" s="8"/>
      <c r="P109" s="8"/>
      <c r="R109" s="8"/>
      <c r="S109" s="8"/>
      <c r="T109" s="8"/>
      <c r="X109" s="8"/>
      <c r="Z109" s="8"/>
      <c r="AA109" s="9"/>
      <c r="AF109" s="2"/>
    </row>
    <row r="110" s="7" customFormat="1" spans="1:32">
      <c r="A110" s="8"/>
      <c r="B110" s="27"/>
      <c r="J110" s="8"/>
      <c r="K110" s="8"/>
      <c r="L110" s="8"/>
      <c r="P110" s="8"/>
      <c r="R110" s="8"/>
      <c r="S110" s="8"/>
      <c r="T110" s="8"/>
      <c r="X110" s="8"/>
      <c r="Z110" s="8"/>
      <c r="AA110" s="9"/>
      <c r="AF110" s="2"/>
    </row>
    <row r="111" s="7" customFormat="1" spans="1:32">
      <c r="A111" s="8"/>
      <c r="B111" s="27"/>
      <c r="J111" s="8"/>
      <c r="K111" s="8"/>
      <c r="L111" s="8"/>
      <c r="P111" s="8"/>
      <c r="R111" s="8"/>
      <c r="S111" s="8"/>
      <c r="T111" s="8"/>
      <c r="X111" s="8"/>
      <c r="Z111" s="8"/>
      <c r="AA111" s="9"/>
      <c r="AF111" s="2"/>
    </row>
    <row r="112" s="7" customFormat="1" spans="1:32">
      <c r="A112" s="8"/>
      <c r="B112" s="27"/>
      <c r="J112" s="8"/>
      <c r="K112" s="8"/>
      <c r="L112" s="8"/>
      <c r="P112" s="8"/>
      <c r="R112" s="8"/>
      <c r="S112" s="8"/>
      <c r="T112" s="8"/>
      <c r="X112" s="8"/>
      <c r="Z112" s="8"/>
      <c r="AA112" s="9"/>
      <c r="AF112" s="2"/>
    </row>
    <row r="113" s="7" customFormat="1" spans="1:32">
      <c r="A113" s="8"/>
      <c r="B113" s="27"/>
      <c r="J113" s="8"/>
      <c r="K113" s="8"/>
      <c r="L113" s="8"/>
      <c r="P113" s="8"/>
      <c r="R113" s="8"/>
      <c r="S113" s="8"/>
      <c r="T113" s="8"/>
      <c r="X113" s="8"/>
      <c r="Z113" s="8"/>
      <c r="AA113" s="9"/>
      <c r="AF113" s="2"/>
    </row>
    <row r="114" s="7" customFormat="1" spans="1:32">
      <c r="A114" s="8"/>
      <c r="B114" s="26"/>
      <c r="J114" s="8"/>
      <c r="K114" s="8"/>
      <c r="L114" s="8"/>
      <c r="P114" s="8"/>
      <c r="R114" s="8"/>
      <c r="S114" s="8"/>
      <c r="T114" s="8"/>
      <c r="X114" s="8"/>
      <c r="Z114" s="8"/>
      <c r="AA114" s="9"/>
      <c r="AF114" s="2"/>
    </row>
    <row r="115" s="7" customFormat="1" spans="1:32">
      <c r="A115" s="8"/>
      <c r="B115" s="26"/>
      <c r="J115" s="8"/>
      <c r="K115" s="8"/>
      <c r="L115" s="8"/>
      <c r="P115" s="8"/>
      <c r="R115" s="8"/>
      <c r="S115" s="8"/>
      <c r="T115" s="8"/>
      <c r="X115" s="8"/>
      <c r="Z115" s="8"/>
      <c r="AA115" s="9"/>
      <c r="AF115" s="2"/>
    </row>
    <row r="116" s="7" customFormat="1" spans="1:32">
      <c r="A116" s="8"/>
      <c r="B116" s="26"/>
      <c r="J116" s="8"/>
      <c r="K116" s="8"/>
      <c r="L116" s="8"/>
      <c r="P116" s="8"/>
      <c r="R116" s="8"/>
      <c r="S116" s="8"/>
      <c r="T116" s="8"/>
      <c r="X116" s="8"/>
      <c r="Z116" s="8"/>
      <c r="AA116" s="9"/>
      <c r="AF116" s="2"/>
    </row>
    <row r="117" s="7" customFormat="1" spans="1:32">
      <c r="A117" s="8"/>
      <c r="B117" s="26"/>
      <c r="J117" s="8"/>
      <c r="K117" s="8"/>
      <c r="L117" s="8"/>
      <c r="P117" s="8"/>
      <c r="R117" s="8"/>
      <c r="S117" s="8"/>
      <c r="T117" s="8"/>
      <c r="X117" s="8"/>
      <c r="Z117" s="8"/>
      <c r="AA117" s="9"/>
      <c r="AF117" s="2"/>
    </row>
    <row r="118" s="7" customFormat="1" spans="1:32">
      <c r="A118" s="8"/>
      <c r="B118" s="26"/>
      <c r="J118" s="8"/>
      <c r="K118" s="8"/>
      <c r="L118" s="8"/>
      <c r="P118" s="8"/>
      <c r="R118" s="8"/>
      <c r="S118" s="8"/>
      <c r="T118" s="8"/>
      <c r="X118" s="8"/>
      <c r="Z118" s="8"/>
      <c r="AA118" s="9"/>
      <c r="AF118" s="2"/>
    </row>
    <row r="119" s="7" customFormat="1" spans="1:32">
      <c r="A119" s="8"/>
      <c r="B119" s="26"/>
      <c r="J119" s="8"/>
      <c r="K119" s="8"/>
      <c r="L119" s="8"/>
      <c r="P119" s="8"/>
      <c r="R119" s="8"/>
      <c r="S119" s="8"/>
      <c r="T119" s="8"/>
      <c r="X119" s="8"/>
      <c r="Z119" s="8"/>
      <c r="AA119" s="9"/>
      <c r="AF119" s="2"/>
    </row>
    <row r="120" s="7" customFormat="1" spans="1:32">
      <c r="A120" s="8"/>
      <c r="B120" s="26"/>
      <c r="J120" s="8"/>
      <c r="K120" s="8"/>
      <c r="L120" s="8"/>
      <c r="P120" s="8"/>
      <c r="R120" s="8"/>
      <c r="S120" s="8"/>
      <c r="T120" s="8"/>
      <c r="X120" s="8"/>
      <c r="Z120" s="8"/>
      <c r="AA120" s="9"/>
      <c r="AF120" s="2"/>
    </row>
    <row r="121" s="7" customFormat="1" spans="1:32">
      <c r="A121" s="8"/>
      <c r="J121" s="8"/>
      <c r="K121" s="8"/>
      <c r="L121" s="8"/>
      <c r="P121" s="8"/>
      <c r="R121" s="8"/>
      <c r="S121" s="8"/>
      <c r="T121" s="8"/>
      <c r="X121" s="8"/>
      <c r="Z121" s="8"/>
      <c r="AA121" s="9"/>
      <c r="AF121" s="2"/>
    </row>
    <row r="122" s="7" customFormat="1" spans="1:32">
      <c r="A122" s="8"/>
      <c r="J122" s="8"/>
      <c r="K122" s="8"/>
      <c r="L122" s="8"/>
      <c r="P122" s="8"/>
      <c r="R122" s="8"/>
      <c r="S122" s="8"/>
      <c r="T122" s="8"/>
      <c r="X122" s="8"/>
      <c r="Z122" s="8"/>
      <c r="AA122" s="9"/>
      <c r="AF122" s="2"/>
    </row>
    <row r="123" s="7" customFormat="1" spans="1:32">
      <c r="A123" s="8"/>
      <c r="J123" s="8"/>
      <c r="K123" s="8"/>
      <c r="L123" s="8"/>
      <c r="P123" s="8"/>
      <c r="R123" s="8"/>
      <c r="S123" s="8"/>
      <c r="T123" s="8"/>
      <c r="X123" s="8"/>
      <c r="Z123" s="8"/>
      <c r="AA123" s="9"/>
      <c r="AF123" s="2"/>
    </row>
    <row r="124" spans="1:32">
      <c r="D124" s="7"/>
    </row>
  </sheetData>
  <mergeCells count="31">
    <mergeCell ref="A1:AA1"/>
    <mergeCell ref="AK95:AL95"/>
    <mergeCell ref="A8:A9"/>
    <mergeCell ref="A17:A18"/>
    <mergeCell ref="A23:A24"/>
    <mergeCell ref="A32:A33"/>
    <mergeCell ref="A44:A45"/>
    <mergeCell ref="B8:B9"/>
    <mergeCell ref="B17:B18"/>
    <mergeCell ref="B23:B24"/>
    <mergeCell ref="B32:B33"/>
    <mergeCell ref="B44:B45"/>
    <mergeCell ref="C8:C9"/>
    <mergeCell ref="C17:C18"/>
    <mergeCell ref="C23:C24"/>
    <mergeCell ref="C32:C33"/>
    <mergeCell ref="C44:C45"/>
    <mergeCell ref="Y8:Y9"/>
    <mergeCell ref="Y17:Y18"/>
    <mergeCell ref="Y23:Y24"/>
    <mergeCell ref="Y44:Y45"/>
    <mergeCell ref="Z8:Z9"/>
    <mergeCell ref="Z17:Z18"/>
    <mergeCell ref="Z23:Z24"/>
    <mergeCell ref="Z44:Z45"/>
    <mergeCell ref="AA8:AA9"/>
    <mergeCell ref="AA17:AA18"/>
    <mergeCell ref="AA23:AA24"/>
    <mergeCell ref="AA33:AA34"/>
    <mergeCell ref="AA44:AA45"/>
    <mergeCell ref="S81:Z95"/>
  </mergeCells>
  <conditionalFormatting sqref="AB36:AB1048576 AB1:AB34">
    <cfRule type="cellIs" dxfId="0" priority="2" operator="greaterThan">
      <formula>0.333333333333333</formula>
    </cfRule>
  </conditionalFormatting>
  <conditionalFormatting sqref="AF36:AF42 AF56:AF61 AF63:AF67 AF69:AF73 AF75:AF79 AF81:AF85 AF87:AF88">
    <cfRule type="cellIs" dxfId="0" priority="1" operator="equal">
      <formula>"Couns"</formula>
    </cfRule>
  </conditionalFormatting>
  <printOptions horizontalCentered="1" verticalCentered="1"/>
  <pageMargins left="0" right="0" top="0" bottom="0" header="0" footer="0"/>
  <pageSetup paperSize="9" scale="61" fitToHeight="2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Monday 4'O' Clock Link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nages</dc:creator>
  <cp:lastModifiedBy>nages</cp:lastModifiedBy>
  <dcterms:created xsi:type="dcterms:W3CDTF">2026-04-28T09:42:00Z</dcterms:created>
  <dcterms:modified xsi:type="dcterms:W3CDTF">2026-04-28T11:25:22Z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CD1856CB03194A8EA743773C1BEB4EE5_11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1</vt:i4>
  </property>
</Properties>
</file>