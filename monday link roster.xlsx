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links\"/>
    </mc:Choice>
  </mc:AlternateContent>
  <xr:revisionPtr revIDLastSave="0" documentId="8_{837FD928-F92F-4E47-A1F8-43084A8C0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day RVR SL" sheetId="1" r:id="rId1"/>
  </sheets>
  <externalReferences>
    <externalReference r:id="rId2"/>
    <externalReference r:id="rId3"/>
  </externalReferences>
  <definedNames>
    <definedName name="_xlnm._FilterDatabase" localSheetId="0" hidden="1">'Monday RVR SL'!$C$7:$H$9</definedName>
    <definedName name="AA">'[1]3.8'!$H$2:$H$130</definedName>
    <definedName name="hh">'[2]exp1 (2)'!$N$3:$N$180</definedName>
    <definedName name="JJJ">'[1]3.8'!$H$2:$H$130</definedName>
    <definedName name="KK">'[1]3.8'!$H$2:$H$130</definedName>
    <definedName name="ll" localSheetId="0">#REF!</definedName>
    <definedName name="ll">#REF!</definedName>
    <definedName name="_xlnm.Print_Area" localSheetId="0">'Monday RVR SL'!$A$1:$AJ$92</definedName>
    <definedName name="_xlnm.Print_Titles" localSheetId="0">'Monday RVR SL'!$1:$2</definedName>
    <definedName name="timings" localSheetId="0">#REF!</definedName>
    <definedName name="timin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2" i="1" l="1"/>
  <c r="AK91" i="1"/>
  <c r="AE89" i="1"/>
  <c r="AK89" i="1"/>
  <c r="I89" i="1"/>
  <c r="AL89" i="1" s="1"/>
  <c r="G89" i="1"/>
  <c r="AE88" i="1"/>
  <c r="AK88" i="1"/>
  <c r="I88" i="1"/>
  <c r="AL88" i="1" s="1"/>
  <c r="G88" i="1"/>
  <c r="AE87" i="1"/>
  <c r="AK87" i="1"/>
  <c r="I87" i="1"/>
  <c r="AL87" i="1" s="1"/>
  <c r="G87" i="1"/>
  <c r="AE86" i="1"/>
  <c r="AK86" i="1"/>
  <c r="I86" i="1"/>
  <c r="AL86" i="1" s="1"/>
  <c r="G86" i="1"/>
  <c r="AE85" i="1"/>
  <c r="AK85" i="1"/>
  <c r="I85" i="1"/>
  <c r="AL85" i="1" s="1"/>
  <c r="G85" i="1"/>
  <c r="AE84" i="1"/>
  <c r="AK84" i="1"/>
  <c r="I84" i="1"/>
  <c r="AL84" i="1" s="1"/>
  <c r="G84" i="1"/>
  <c r="AE83" i="1"/>
  <c r="AK83" i="1"/>
  <c r="I83" i="1"/>
  <c r="AL83" i="1" s="1"/>
  <c r="G83" i="1"/>
  <c r="AE82" i="1"/>
  <c r="AK82" i="1"/>
  <c r="I82" i="1"/>
  <c r="AL82" i="1" s="1"/>
  <c r="G82" i="1"/>
  <c r="AE81" i="1"/>
  <c r="AK81" i="1"/>
  <c r="I81" i="1"/>
  <c r="AL81" i="1" s="1"/>
  <c r="G81" i="1"/>
  <c r="AE79" i="1"/>
  <c r="AK79" i="1"/>
  <c r="I79" i="1"/>
  <c r="AL79" i="1" s="1"/>
  <c r="G79" i="1"/>
  <c r="AE78" i="1"/>
  <c r="AK78" i="1"/>
  <c r="I78" i="1"/>
  <c r="AL78" i="1" s="1"/>
  <c r="G78" i="1"/>
  <c r="AE77" i="1"/>
  <c r="AK77" i="1"/>
  <c r="I77" i="1"/>
  <c r="AL77" i="1" s="1"/>
  <c r="G77" i="1"/>
  <c r="AE76" i="1"/>
  <c r="AK76" i="1"/>
  <c r="I76" i="1"/>
  <c r="AL76" i="1" s="1"/>
  <c r="G76" i="1"/>
  <c r="AE75" i="1"/>
  <c r="AK75" i="1"/>
  <c r="I75" i="1"/>
  <c r="AL75" i="1" s="1"/>
  <c r="G75" i="1"/>
  <c r="AK72" i="1"/>
  <c r="O72" i="1"/>
  <c r="I72" i="1"/>
  <c r="AL72" i="1" s="1"/>
  <c r="G72" i="1"/>
  <c r="AK71" i="1"/>
  <c r="W71" i="1"/>
  <c r="Q71" i="1"/>
  <c r="O71" i="1"/>
  <c r="I71" i="1"/>
  <c r="G71" i="1"/>
  <c r="AK70" i="1"/>
  <c r="O70" i="1"/>
  <c r="I70" i="1"/>
  <c r="AL70" i="1" s="1"/>
  <c r="G70" i="1"/>
  <c r="AK69" i="1"/>
  <c r="O69" i="1"/>
  <c r="I69" i="1"/>
  <c r="AL69" i="1" s="1"/>
  <c r="G69" i="1"/>
  <c r="AK68" i="1"/>
  <c r="Q68" i="1"/>
  <c r="O68" i="1"/>
  <c r="I68" i="1"/>
  <c r="G68" i="1"/>
  <c r="AK67" i="1"/>
  <c r="W67" i="1"/>
  <c r="Q67" i="1"/>
  <c r="O67" i="1"/>
  <c r="I67" i="1"/>
  <c r="G67" i="1"/>
  <c r="AK66" i="1"/>
  <c r="W66" i="1"/>
  <c r="Q66" i="1"/>
  <c r="O66" i="1"/>
  <c r="I66" i="1"/>
  <c r="G66" i="1"/>
  <c r="AK64" i="1"/>
  <c r="W64" i="1"/>
  <c r="Q64" i="1"/>
  <c r="O64" i="1"/>
  <c r="I64" i="1"/>
  <c r="G64" i="1"/>
  <c r="AK63" i="1"/>
  <c r="W63" i="1"/>
  <c r="Q63" i="1"/>
  <c r="O63" i="1"/>
  <c r="I63" i="1"/>
  <c r="G63" i="1"/>
  <c r="AK62" i="1"/>
  <c r="W62" i="1"/>
  <c r="Q62" i="1"/>
  <c r="O62" i="1"/>
  <c r="I62" i="1"/>
  <c r="G62" i="1"/>
  <c r="AJ62" i="1" s="1"/>
  <c r="AK61" i="1"/>
  <c r="W61" i="1"/>
  <c r="Q61" i="1"/>
  <c r="O61" i="1"/>
  <c r="I61" i="1"/>
  <c r="G61" i="1"/>
  <c r="AK60" i="1"/>
  <c r="W60" i="1"/>
  <c r="Q60" i="1"/>
  <c r="O60" i="1"/>
  <c r="F60" i="1"/>
  <c r="I60" i="1" s="1"/>
  <c r="AL60" i="1" s="1"/>
  <c r="E60" i="1"/>
  <c r="AK59" i="1"/>
  <c r="W59" i="1"/>
  <c r="Q59" i="1"/>
  <c r="O59" i="1"/>
  <c r="I59" i="1"/>
  <c r="G59" i="1"/>
  <c r="AK58" i="1"/>
  <c r="W58" i="1"/>
  <c r="Q58" i="1"/>
  <c r="O58" i="1"/>
  <c r="I58" i="1"/>
  <c r="G58" i="1"/>
  <c r="AK57" i="1"/>
  <c r="W57" i="1"/>
  <c r="Q57" i="1"/>
  <c r="O57" i="1"/>
  <c r="AJ57" i="1" s="1"/>
  <c r="F57" i="1"/>
  <c r="E57" i="1"/>
  <c r="AK56" i="1"/>
  <c r="W56" i="1"/>
  <c r="Q56" i="1"/>
  <c r="O56" i="1"/>
  <c r="I56" i="1"/>
  <c r="G56" i="1"/>
  <c r="AK54" i="1"/>
  <c r="AE54" i="1"/>
  <c r="Y54" i="1"/>
  <c r="Q54" i="1"/>
  <c r="O54" i="1"/>
  <c r="F54" i="1"/>
  <c r="I54" i="1" s="1"/>
  <c r="E54" i="1"/>
  <c r="AK53" i="1"/>
  <c r="W53" i="1"/>
  <c r="Q53" i="1"/>
  <c r="O53" i="1"/>
  <c r="I53" i="1"/>
  <c r="AL53" i="1" s="1"/>
  <c r="G53" i="1"/>
  <c r="AK52" i="1"/>
  <c r="W52" i="1"/>
  <c r="Q52" i="1"/>
  <c r="O52" i="1"/>
  <c r="I52" i="1"/>
  <c r="G52" i="1"/>
  <c r="AJ52" i="1" s="1"/>
  <c r="AK51" i="1"/>
  <c r="Q51" i="1"/>
  <c r="O51" i="1"/>
  <c r="I51" i="1"/>
  <c r="G51" i="1"/>
  <c r="AK50" i="1"/>
  <c r="AE50" i="1"/>
  <c r="Y50" i="1"/>
  <c r="W50" i="1"/>
  <c r="Q50" i="1"/>
  <c r="O50" i="1"/>
  <c r="I50" i="1"/>
  <c r="G50" i="1"/>
  <c r="AJ50" i="1" s="1"/>
  <c r="AL48" i="1"/>
  <c r="AK48" i="1"/>
  <c r="AL47" i="1"/>
  <c r="AK47" i="1"/>
  <c r="AK45" i="1"/>
  <c r="Q45" i="1"/>
  <c r="I45" i="1"/>
  <c r="G45" i="1"/>
  <c r="AJ45" i="1" s="1"/>
  <c r="AK44" i="1"/>
  <c r="Q44" i="1"/>
  <c r="O44" i="1"/>
  <c r="I44" i="1"/>
  <c r="G44" i="1"/>
  <c r="AK43" i="1"/>
  <c r="AE43" i="1"/>
  <c r="Y43" i="1"/>
  <c r="W43" i="1"/>
  <c r="Q43" i="1"/>
  <c r="O43" i="1"/>
  <c r="AJ43" i="1" s="1"/>
  <c r="F43" i="1"/>
  <c r="I43" i="1" s="1"/>
  <c r="E43" i="1"/>
  <c r="AK42" i="1"/>
  <c r="AE42" i="1"/>
  <c r="Y42" i="1"/>
  <c r="W42" i="1"/>
  <c r="Q42" i="1"/>
  <c r="O42" i="1"/>
  <c r="I42" i="1"/>
  <c r="G42" i="1"/>
  <c r="AK41" i="1"/>
  <c r="W41" i="1"/>
  <c r="Q41" i="1"/>
  <c r="O41" i="1"/>
  <c r="I41" i="1"/>
  <c r="G41" i="1"/>
  <c r="AK40" i="1"/>
  <c r="Q40" i="1"/>
  <c r="O40" i="1"/>
  <c r="AJ40" i="1" s="1"/>
  <c r="F40" i="1"/>
  <c r="I40" i="1" s="1"/>
  <c r="E40" i="1"/>
  <c r="AK39" i="1"/>
  <c r="W39" i="1"/>
  <c r="Q39" i="1"/>
  <c r="O39" i="1"/>
  <c r="I39" i="1"/>
  <c r="G39" i="1"/>
  <c r="AK38" i="1"/>
  <c r="W38" i="1"/>
  <c r="Q38" i="1"/>
  <c r="O38" i="1"/>
  <c r="I38" i="1"/>
  <c r="G38" i="1"/>
  <c r="AG36" i="1"/>
  <c r="AK36" i="1" s="1"/>
  <c r="W36" i="1"/>
  <c r="Q36" i="1"/>
  <c r="O36" i="1"/>
  <c r="I36" i="1"/>
  <c r="AL36" i="1" s="1"/>
  <c r="G36" i="1"/>
  <c r="AL35" i="1"/>
  <c r="AG35" i="1"/>
  <c r="AK35" i="1" s="1"/>
  <c r="W35" i="1"/>
  <c r="Q35" i="1"/>
  <c r="O35" i="1"/>
  <c r="I35" i="1"/>
  <c r="G35" i="1"/>
  <c r="AK34" i="1"/>
  <c r="W34" i="1"/>
  <c r="Q34" i="1"/>
  <c r="O34" i="1"/>
  <c r="I34" i="1"/>
  <c r="G34" i="1"/>
  <c r="AK33" i="1"/>
  <c r="W33" i="1"/>
  <c r="Q33" i="1"/>
  <c r="O33" i="1"/>
  <c r="I33" i="1"/>
  <c r="G33" i="1"/>
  <c r="AG32" i="1"/>
  <c r="AK32" i="1" s="1"/>
  <c r="W32" i="1"/>
  <c r="Q32" i="1"/>
  <c r="O32" i="1"/>
  <c r="I32" i="1"/>
  <c r="G32" i="1"/>
  <c r="AG31" i="1"/>
  <c r="AK31" i="1" s="1"/>
  <c r="AC31" i="1"/>
  <c r="Y31" i="1"/>
  <c r="W31" i="1"/>
  <c r="Q31" i="1"/>
  <c r="O31" i="1"/>
  <c r="I31" i="1"/>
  <c r="G31" i="1"/>
  <c r="AG30" i="1"/>
  <c r="AK30" i="1" s="1"/>
  <c r="W30" i="1"/>
  <c r="Q30" i="1"/>
  <c r="O30" i="1"/>
  <c r="I30" i="1"/>
  <c r="G30" i="1"/>
  <c r="AG29" i="1"/>
  <c r="AK29" i="1" s="1"/>
  <c r="W29" i="1"/>
  <c r="Q29" i="1"/>
  <c r="O29" i="1"/>
  <c r="I29" i="1"/>
  <c r="G29" i="1"/>
  <c r="AG27" i="1"/>
  <c r="AK27" i="1" s="1"/>
  <c r="AC27" i="1"/>
  <c r="Y27" i="1" s="1"/>
  <c r="W27" i="1"/>
  <c r="Q27" i="1"/>
  <c r="O27" i="1"/>
  <c r="I27" i="1"/>
  <c r="G27" i="1"/>
  <c r="AG26" i="1"/>
  <c r="AK26" i="1" s="1"/>
  <c r="AC26" i="1"/>
  <c r="Y26" i="1" s="1"/>
  <c r="W26" i="1"/>
  <c r="Q26" i="1"/>
  <c r="O26" i="1"/>
  <c r="I26" i="1"/>
  <c r="G26" i="1"/>
  <c r="AG25" i="1"/>
  <c r="AK25" i="1" s="1"/>
  <c r="AC25" i="1"/>
  <c r="Y25" i="1" s="1"/>
  <c r="W25" i="1"/>
  <c r="Q25" i="1"/>
  <c r="O25" i="1"/>
  <c r="I25" i="1"/>
  <c r="G25" i="1"/>
  <c r="AG24" i="1"/>
  <c r="AK24" i="1" s="1"/>
  <c r="W24" i="1"/>
  <c r="Q24" i="1"/>
  <c r="O24" i="1"/>
  <c r="I24" i="1"/>
  <c r="AL24" i="1" s="1"/>
  <c r="G24" i="1"/>
  <c r="AK23" i="1"/>
  <c r="W23" i="1"/>
  <c r="AJ23" i="1" s="1"/>
  <c r="Q23" i="1"/>
  <c r="O23" i="1"/>
  <c r="I23" i="1"/>
  <c r="G23" i="1"/>
  <c r="AK22" i="1"/>
  <c r="AD22" i="1"/>
  <c r="AC22" i="1"/>
  <c r="Y22" i="1" s="1"/>
  <c r="W22" i="1"/>
  <c r="Q22" i="1"/>
  <c r="O22" i="1"/>
  <c r="I22" i="1"/>
  <c r="G22" i="1"/>
  <c r="AK21" i="1"/>
  <c r="W21" i="1"/>
  <c r="Q21" i="1"/>
  <c r="O21" i="1"/>
  <c r="I21" i="1"/>
  <c r="G21" i="1"/>
  <c r="AK20" i="1"/>
  <c r="AE20" i="1"/>
  <c r="Y20" i="1"/>
  <c r="W20" i="1"/>
  <c r="Q20" i="1"/>
  <c r="O20" i="1"/>
  <c r="I20" i="1"/>
  <c r="G20" i="1"/>
  <c r="AJ20" i="1" s="1"/>
  <c r="AK18" i="1"/>
  <c r="W18" i="1"/>
  <c r="Q18" i="1"/>
  <c r="AL18" i="1" s="1"/>
  <c r="O18" i="1"/>
  <c r="I18" i="1"/>
  <c r="G18" i="1"/>
  <c r="AK17" i="1"/>
  <c r="W17" i="1"/>
  <c r="Q17" i="1"/>
  <c r="O17" i="1"/>
  <c r="I17" i="1"/>
  <c r="G17" i="1"/>
  <c r="AK16" i="1"/>
  <c r="AD16" i="1"/>
  <c r="AC16" i="1"/>
  <c r="Y16" i="1" s="1"/>
  <c r="W16" i="1"/>
  <c r="Q16" i="1"/>
  <c r="O16" i="1"/>
  <c r="I16" i="1"/>
  <c r="G16" i="1"/>
  <c r="AK15" i="1"/>
  <c r="W15" i="1"/>
  <c r="AM15" i="1" s="1"/>
  <c r="Q15" i="1"/>
  <c r="O15" i="1"/>
  <c r="I15" i="1"/>
  <c r="G15" i="1"/>
  <c r="AK14" i="1"/>
  <c r="W14" i="1"/>
  <c r="Q14" i="1"/>
  <c r="O14" i="1"/>
  <c r="I14" i="1"/>
  <c r="G14" i="1"/>
  <c r="AK13" i="1"/>
  <c r="W13" i="1"/>
  <c r="Q13" i="1"/>
  <c r="O13" i="1"/>
  <c r="I13" i="1"/>
  <c r="G13" i="1"/>
  <c r="AK12" i="1"/>
  <c r="W12" i="1"/>
  <c r="Q12" i="1"/>
  <c r="O12" i="1"/>
  <c r="I12" i="1"/>
  <c r="G12" i="1"/>
  <c r="AK11" i="1"/>
  <c r="W11" i="1"/>
  <c r="Q11" i="1"/>
  <c r="O11" i="1"/>
  <c r="I11" i="1"/>
  <c r="G11" i="1"/>
  <c r="AK9" i="1"/>
  <c r="W9" i="1"/>
  <c r="Q9" i="1"/>
  <c r="O9" i="1"/>
  <c r="I9" i="1"/>
  <c r="G9" i="1"/>
  <c r="AK8" i="1"/>
  <c r="AE8" i="1"/>
  <c r="Y8" i="1"/>
  <c r="W8" i="1"/>
  <c r="Q8" i="1"/>
  <c r="O8" i="1"/>
  <c r="I8" i="1"/>
  <c r="AL8" i="1" s="1"/>
  <c r="G8" i="1"/>
  <c r="AK7" i="1"/>
  <c r="W7" i="1"/>
  <c r="Q7" i="1"/>
  <c r="O7" i="1"/>
  <c r="I7" i="1"/>
  <c r="G7" i="1"/>
  <c r="AK6" i="1"/>
  <c r="AE6" i="1"/>
  <c r="Y6" i="1"/>
  <c r="W6" i="1"/>
  <c r="Q6" i="1"/>
  <c r="O6" i="1"/>
  <c r="I6" i="1"/>
  <c r="G6" i="1"/>
  <c r="AK5" i="1"/>
  <c r="W5" i="1"/>
  <c r="Q5" i="1"/>
  <c r="O5" i="1"/>
  <c r="I5" i="1"/>
  <c r="G5" i="1"/>
  <c r="AK4" i="1"/>
  <c r="AK3" i="1"/>
  <c r="AL32" i="1" l="1"/>
  <c r="AL6" i="1"/>
  <c r="AJ9" i="1"/>
  <c r="AJ25" i="1"/>
  <c r="AD26" i="1"/>
  <c r="AL43" i="1"/>
  <c r="AJ67" i="1"/>
  <c r="AJ61" i="1"/>
  <c r="G40" i="1"/>
  <c r="AM40" i="1" s="1"/>
  <c r="AJ30" i="1"/>
  <c r="AJ39" i="1"/>
  <c r="AE22" i="1"/>
  <c r="AM22" i="1" s="1"/>
  <c r="AJ41" i="1"/>
  <c r="AL58" i="1"/>
  <c r="AJ7" i="1"/>
  <c r="AL11" i="1"/>
  <c r="AL23" i="1"/>
  <c r="AJ35" i="1"/>
  <c r="AJ54" i="1"/>
  <c r="AJ12" i="1"/>
  <c r="AJ14" i="1"/>
  <c r="AJ16" i="1"/>
  <c r="AJ32" i="1"/>
  <c r="AL34" i="1"/>
  <c r="AL50" i="1"/>
  <c r="AJ51" i="1"/>
  <c r="AL64" i="1"/>
  <c r="AJ66" i="1"/>
  <c r="AL67" i="1"/>
  <c r="AL68" i="1"/>
  <c r="AJ70" i="1"/>
  <c r="AL5" i="1"/>
  <c r="AJ6" i="1"/>
  <c r="AL7" i="1"/>
  <c r="AL9" i="1"/>
  <c r="AJ11" i="1"/>
  <c r="AL12" i="1"/>
  <c r="AJ15" i="1"/>
  <c r="AJ17" i="1"/>
  <c r="AJ31" i="1"/>
  <c r="AJ34" i="1"/>
  <c r="AL41" i="1"/>
  <c r="AL45" i="1"/>
  <c r="AL61" i="1"/>
  <c r="AJ64" i="1"/>
  <c r="AL66" i="1"/>
  <c r="AJ69" i="1"/>
  <c r="AL25" i="1"/>
  <c r="AJ8" i="1"/>
  <c r="AL13" i="1"/>
  <c r="AL15" i="1"/>
  <c r="AL21" i="1"/>
  <c r="AJ27" i="1"/>
  <c r="AJ29" i="1"/>
  <c r="AL30" i="1"/>
  <c r="AL31" i="1"/>
  <c r="AJ33" i="1"/>
  <c r="AJ36" i="1"/>
  <c r="AJ38" i="1"/>
  <c r="AL39" i="1"/>
  <c r="AL40" i="1"/>
  <c r="AJ44" i="1"/>
  <c r="AL51" i="1"/>
  <c r="AL52" i="1"/>
  <c r="AJ56" i="1"/>
  <c r="G57" i="1"/>
  <c r="AM57" i="1" s="1"/>
  <c r="AJ58" i="1"/>
  <c r="AL59" i="1"/>
  <c r="AJ60" i="1"/>
  <c r="AJ63" i="1"/>
  <c r="AL71" i="1"/>
  <c r="AJ72" i="1"/>
  <c r="AL26" i="1"/>
  <c r="AL42" i="1"/>
  <c r="AL16" i="1"/>
  <c r="AJ18" i="1"/>
  <c r="AL20" i="1"/>
  <c r="AJ22" i="1"/>
  <c r="AE26" i="1"/>
  <c r="AM26" i="1" s="1"/>
  <c r="AJ5" i="1"/>
  <c r="AJ13" i="1"/>
  <c r="AL14" i="1"/>
  <c r="AE16" i="1"/>
  <c r="AM16" i="1" s="1"/>
  <c r="AL17" i="1"/>
  <c r="AJ21" i="1"/>
  <c r="AL22" i="1"/>
  <c r="AJ24" i="1"/>
  <c r="AJ26" i="1"/>
  <c r="AL27" i="1"/>
  <c r="AL29" i="1"/>
  <c r="AL33" i="1"/>
  <c r="AL38" i="1"/>
  <c r="AJ42" i="1"/>
  <c r="AL44" i="1"/>
  <c r="AJ53" i="1"/>
  <c r="AL54" i="1"/>
  <c r="AL56" i="1"/>
  <c r="I57" i="1"/>
  <c r="AL57" i="1" s="1"/>
  <c r="AJ59" i="1"/>
  <c r="AL62" i="1"/>
  <c r="AL63" i="1"/>
  <c r="AJ68" i="1"/>
  <c r="AJ71" i="1"/>
  <c r="AK93" i="1"/>
  <c r="AD27" i="1"/>
  <c r="AE27" i="1" s="1"/>
  <c r="AM27" i="1" s="1"/>
  <c r="AD25" i="1"/>
  <c r="AE25" i="1" s="1"/>
  <c r="AM25" i="1" s="1"/>
  <c r="G43" i="1"/>
  <c r="AM43" i="1" s="1"/>
  <c r="G54" i="1"/>
  <c r="AM54" i="1" s="1"/>
  <c r="G60" i="1"/>
  <c r="AM60" i="1" s="1"/>
  <c r="AD31" i="1"/>
  <c r="AE31" i="1" s="1"/>
  <c r="AM31" i="1" s="1"/>
  <c r="AJ93" i="1" l="1"/>
  <c r="AL93" i="1"/>
  <c r="AM93" i="1"/>
</calcChain>
</file>

<file path=xl/sharedStrings.xml><?xml version="1.0" encoding="utf-8"?>
<sst xmlns="http://schemas.openxmlformats.org/spreadsheetml/2006/main" count="406" uniqueCount="151">
  <si>
    <t xml:space="preserve">From 19-Oct-2026 Line 2  MONDAY 04:00hrs Service Link for Time Table Dated 05-Oct-2026 (RVR SL) </t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</si>
  <si>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</si>
  <si>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</si>
  <si>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</si>
  <si>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</si>
  <si>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</si>
  <si>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</si>
  <si>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</si>
  <si>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</si>
  <si>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>Break</t>
  </si>
  <si>
    <t>Takeover
Location</t>
  </si>
  <si>
    <t>BreakCouns</t>
  </si>
  <si>
    <t>S OFF Time</t>
  </si>
  <si>
    <t>Sign Off Location</t>
  </si>
  <si>
    <t>Kms</t>
  </si>
  <si>
    <t>Driving Hrs</t>
  </si>
  <si>
    <t>Duty Hrs</t>
  </si>
  <si>
    <t>Counselling</t>
  </si>
  <si>
    <t>Duty Type</t>
  </si>
  <si>
    <t>PYID</t>
  </si>
  <si>
    <t>Pro 1</t>
  </si>
  <si>
    <t>Pro1</t>
  </si>
  <si>
    <t>TGTP</t>
  </si>
  <si>
    <t>Stby</t>
  </si>
  <si>
    <t>OR1</t>
  </si>
  <si>
    <t>Rd3 Induct</t>
  </si>
  <si>
    <t>A3J</t>
  </si>
  <si>
    <t>KGWA Dn</t>
  </si>
  <si>
    <t>A4J.</t>
  </si>
  <si>
    <t>Depo/No PDC</t>
  </si>
  <si>
    <t>P DHO</t>
  </si>
  <si>
    <t>A5</t>
  </si>
  <si>
    <t>PYID Dn</t>
  </si>
  <si>
    <t>N PKT</t>
  </si>
  <si>
    <t>A6</t>
  </si>
  <si>
    <t>PYID UP</t>
  </si>
  <si>
    <t>KGWA Up</t>
  </si>
  <si>
    <t>KGWA</t>
  </si>
  <si>
    <t>A7J</t>
  </si>
  <si>
    <t>Dpo - Rd3</t>
  </si>
  <si>
    <t>A8J.</t>
  </si>
  <si>
    <t>A9</t>
  </si>
  <si>
    <t>A10</t>
  </si>
  <si>
    <t>KGWA UP</t>
  </si>
  <si>
    <t>A11</t>
  </si>
  <si>
    <t>Couns</t>
  </si>
  <si>
    <t>A12c</t>
  </si>
  <si>
    <t>A13c</t>
  </si>
  <si>
    <t>A14</t>
  </si>
  <si>
    <t>PYID DN</t>
  </si>
  <si>
    <t>A15J</t>
  </si>
  <si>
    <t>PUTH Up</t>
  </si>
  <si>
    <t>A16J.</t>
  </si>
  <si>
    <t>A17</t>
  </si>
  <si>
    <t>A18c</t>
  </si>
  <si>
    <t>A19J</t>
  </si>
  <si>
    <t>A20J.</t>
  </si>
  <si>
    <t>A21c</t>
  </si>
  <si>
    <t>A22c</t>
  </si>
  <si>
    <t>A23c</t>
  </si>
  <si>
    <t>A24J</t>
  </si>
  <si>
    <t>A25J.</t>
  </si>
  <si>
    <t>A26c</t>
  </si>
  <si>
    <t>A27J</t>
  </si>
  <si>
    <t>A28</t>
  </si>
  <si>
    <t>A29.</t>
  </si>
  <si>
    <t>A30</t>
  </si>
  <si>
    <t>A31J</t>
  </si>
  <si>
    <t>Depot</t>
  </si>
  <si>
    <t>B32J.</t>
  </si>
  <si>
    <t>B33J</t>
  </si>
  <si>
    <t>B34c</t>
  </si>
  <si>
    <t>B35.</t>
  </si>
  <si>
    <t>B36</t>
  </si>
  <si>
    <t>B37c</t>
  </si>
  <si>
    <t>B38J</t>
  </si>
  <si>
    <t>B39.</t>
  </si>
  <si>
    <t>Pro2</t>
  </si>
  <si>
    <t>Pro 2</t>
  </si>
  <si>
    <t>OR2</t>
  </si>
  <si>
    <t>PUTH Dn</t>
  </si>
  <si>
    <t>PUTH</t>
  </si>
  <si>
    <t>B40</t>
  </si>
  <si>
    <t xml:space="preserve">PYID </t>
  </si>
  <si>
    <t>B43J</t>
  </si>
  <si>
    <t>B44J</t>
  </si>
  <si>
    <t>B45</t>
  </si>
  <si>
    <t>B46</t>
  </si>
  <si>
    <t>B47J</t>
  </si>
  <si>
    <t>B48c</t>
  </si>
  <si>
    <t>B49J</t>
  </si>
  <si>
    <t>B50J</t>
  </si>
  <si>
    <t>PYID Trn Bk</t>
  </si>
  <si>
    <t>B51c</t>
  </si>
  <si>
    <t>B52.</t>
  </si>
  <si>
    <t>B53</t>
  </si>
  <si>
    <t>B54</t>
  </si>
  <si>
    <t>B55</t>
  </si>
  <si>
    <t>NG PKT</t>
  </si>
  <si>
    <t>B56</t>
  </si>
  <si>
    <t>Rd3 Stbl</t>
  </si>
  <si>
    <t>B57</t>
  </si>
  <si>
    <t>B58</t>
  </si>
  <si>
    <t>B59</t>
  </si>
  <si>
    <t>B60</t>
  </si>
  <si>
    <t>B61</t>
  </si>
  <si>
    <t>B62</t>
  </si>
  <si>
    <t>Night Kms</t>
  </si>
  <si>
    <t>Morn Kms</t>
  </si>
  <si>
    <t>APTS Dn</t>
  </si>
  <si>
    <t>Follow
Regular Weekday Morning
Changeover Link</t>
  </si>
  <si>
    <t>N63Ap</t>
  </si>
  <si>
    <t>PYID Up</t>
  </si>
  <si>
    <t>NLC Up</t>
  </si>
  <si>
    <t>N64Nlc</t>
  </si>
  <si>
    <t>Pilot</t>
  </si>
  <si>
    <t>PUTH UP</t>
  </si>
  <si>
    <t>N65Ap</t>
  </si>
  <si>
    <t>APTS Up</t>
  </si>
  <si>
    <t>N66Ap</t>
  </si>
  <si>
    <t>APTS-PUTH Pilot</t>
  </si>
  <si>
    <t>KGWA DN</t>
  </si>
  <si>
    <t>N67Ap</t>
  </si>
  <si>
    <t>PUTH-NLC Pilot</t>
  </si>
  <si>
    <t>BIET DnBE</t>
  </si>
  <si>
    <t>N68Bi</t>
  </si>
  <si>
    <t>B DHO</t>
  </si>
  <si>
    <t>N69f</t>
  </si>
  <si>
    <t>NGSA DnPf</t>
  </si>
  <si>
    <t>N70Ng</t>
  </si>
  <si>
    <t>BIET UpPf</t>
  </si>
  <si>
    <t>N71Bi</t>
  </si>
  <si>
    <t>SPGD DnPf</t>
  </si>
  <si>
    <t>N72Sp</t>
  </si>
  <si>
    <t>NGSA UpPf</t>
  </si>
  <si>
    <t>N73</t>
  </si>
  <si>
    <t>JIDL UpPf</t>
  </si>
  <si>
    <t>BIET DnPf</t>
  </si>
  <si>
    <t>N74Bi</t>
  </si>
  <si>
    <t>BIET-NGSA Pilot</t>
  </si>
  <si>
    <t>After Stabling go to Depot</t>
  </si>
  <si>
    <t>N75</t>
  </si>
  <si>
    <t>Depo - JHLI  Trn Bk</t>
  </si>
  <si>
    <t>N76</t>
  </si>
  <si>
    <t>PDC</t>
  </si>
  <si>
    <t>213; 214; 215</t>
  </si>
  <si>
    <t>DEPOT</t>
  </si>
  <si>
    <t>Pro 3</t>
  </si>
  <si>
    <t>Npro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</si>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</sst>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5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u/>
      <sz val="12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i/>
      <sz val="12"/>
      <color theme="1"/>
      <name val="Arial Narrow"/>
      <family val="2"/>
    </font>
    <font>
      <b/>
      <sz val="24"/>
      <color theme="1"/>
      <name val="Arial Narrow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8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8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A42EC25\August'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119"/>
  <sheetViews>
    <sheetView tabSelected="1" zoomScale="70" zoomScaleNormal="70" zoomScaleSheetLayoutView="85" workbookViewId="0">
      <pane xSplit="2" ySplit="3" topLeftCell="C38" activePane="bottomRight" state="frozen"/>
      <selection sqref="A1:Z1"/>
      <selection pane="topRight" sqref="A1:Z1"/>
      <selection pane="bottomLeft" sqref="A1:Z1"/>
      <selection pane="bottomRight" activeCell="D67" sqref="D67"/>
    </sheetView>
  </sheetViews>
  <sheetFormatPr defaultColWidth="9.140625" defaultRowHeight="14.25" x14ac:dyDescent="0.25"/>
  <cols>
    <col min="1" max="1" width="6.42578125" style="2" bestFit="1" customWidth="1"/>
    <col min="2" max="2" width="7.140625" style="1" customWidth="1"/>
    <col min="3" max="3" width="12" style="2" customWidth="1"/>
    <col min="4" max="4" width="7.42578125" style="2" customWidth="1"/>
    <col min="5" max="7" width="7" style="1" customWidth="1"/>
    <col min="8" max="8" width="11.140625" style="2" customWidth="1"/>
    <col min="9" max="9" width="7.5703125" style="1" customWidth="1"/>
    <col min="10" max="10" width="1.42578125" style="2" customWidth="1"/>
    <col min="11" max="11" width="10.140625" style="2" customWidth="1"/>
    <col min="12" max="12" width="5.7109375" style="2" customWidth="1"/>
    <col min="13" max="15" width="6.28515625" style="1" customWidth="1"/>
    <col min="16" max="16" width="10.7109375" style="2" customWidth="1"/>
    <col min="17" max="17" width="7.5703125" style="1" customWidth="1"/>
    <col min="18" max="18" width="1.42578125" style="2" customWidth="1"/>
    <col min="19" max="19" width="10.140625" style="2" customWidth="1"/>
    <col min="20" max="20" width="6.85546875" style="2" customWidth="1"/>
    <col min="21" max="23" width="6.28515625" style="1" customWidth="1"/>
    <col min="24" max="24" width="13.140625" style="2" customWidth="1"/>
    <col min="25" max="25" width="7.5703125" style="2" customWidth="1"/>
    <col min="26" max="26" width="1.42578125" style="2" customWidth="1"/>
    <col min="27" max="27" width="10.140625" style="2" customWidth="1"/>
    <col min="28" max="28" width="5.7109375" style="2" customWidth="1"/>
    <col min="29" max="31" width="6.28515625" style="2" customWidth="1"/>
    <col min="32" max="32" width="11.140625" style="2" customWidth="1"/>
    <col min="33" max="33" width="7.140625" style="1" customWidth="1"/>
    <col min="34" max="34" width="9.7109375" style="2" customWidth="1"/>
    <col min="35" max="35" width="6.5703125" style="2" customWidth="1"/>
    <col min="36" max="36" width="7.42578125" style="1" customWidth="1"/>
    <col min="37" max="37" width="7.85546875" style="1" customWidth="1"/>
    <col min="38" max="39" width="9.28515625" style="1" customWidth="1"/>
    <col min="40" max="40" width="9.5703125" style="2" customWidth="1"/>
    <col min="41" max="41" width="3.5703125" style="2" customWidth="1"/>
    <col min="42" max="46" width="8.5703125" style="2" customWidth="1"/>
    <col min="47" max="47" width="11.7109375" style="2" bestFit="1" customWidth="1"/>
    <col min="48" max="49" width="9.28515625" style="2" bestFit="1" customWidth="1"/>
    <col min="50" max="50" width="9.140625" style="2"/>
    <col min="51" max="51" width="9.28515625" style="2" bestFit="1" customWidth="1"/>
    <col min="52" max="16384" width="9.140625" style="2"/>
  </cols>
  <sheetData>
    <row r="1" spans="1:52" ht="25.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</row>
    <row r="2" spans="1:52" s="8" customFormat="1" ht="33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/>
      <c r="K2" s="3" t="s">
        <v>10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11</v>
      </c>
      <c r="R2" s="3"/>
      <c r="S2" s="3" t="s">
        <v>10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11</v>
      </c>
      <c r="Z2" s="3"/>
      <c r="AA2" s="3" t="s">
        <v>10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12</v>
      </c>
      <c r="AH2" s="3" t="s">
        <v>13</v>
      </c>
      <c r="AI2" s="3" t="s">
        <v>14</v>
      </c>
      <c r="AJ2" s="4" t="s">
        <v>15</v>
      </c>
      <c r="AK2" s="4" t="s">
        <v>16</v>
      </c>
      <c r="AL2" s="5" t="s">
        <v>9</v>
      </c>
      <c r="AM2" s="4" t="s">
        <v>17</v>
      </c>
      <c r="AN2" s="3" t="s">
        <v>18</v>
      </c>
      <c r="AO2" s="2"/>
      <c r="AP2" s="6"/>
      <c r="AQ2" s="6"/>
      <c r="AR2" s="6"/>
      <c r="AS2" s="6"/>
      <c r="AT2" s="7"/>
    </row>
    <row r="3" spans="1:52" ht="21.75" customHeight="1" x14ac:dyDescent="0.25">
      <c r="A3" s="9">
        <v>1</v>
      </c>
      <c r="B3" s="10">
        <v>0.25</v>
      </c>
      <c r="C3" s="9" t="s">
        <v>19</v>
      </c>
      <c r="D3" s="11" t="s">
        <v>20</v>
      </c>
      <c r="E3" s="12"/>
      <c r="F3" s="11"/>
      <c r="G3" s="13"/>
      <c r="H3" s="11"/>
      <c r="I3" s="11"/>
      <c r="J3" s="11"/>
      <c r="K3" s="11"/>
      <c r="L3" s="11" t="s">
        <v>20</v>
      </c>
      <c r="M3" s="11"/>
      <c r="N3" s="11"/>
      <c r="O3" s="13"/>
      <c r="P3" s="11"/>
      <c r="Q3" s="11"/>
      <c r="R3" s="11"/>
      <c r="S3" s="11"/>
      <c r="T3" s="11" t="s">
        <v>20</v>
      </c>
      <c r="U3" s="11"/>
      <c r="V3" s="11"/>
      <c r="W3" s="13"/>
      <c r="X3" s="11"/>
      <c r="Y3" s="11"/>
      <c r="Z3" s="11"/>
      <c r="AA3" s="11"/>
      <c r="AB3" s="11" t="s">
        <v>20</v>
      </c>
      <c r="AC3" s="11"/>
      <c r="AD3" s="11"/>
      <c r="AE3" s="11"/>
      <c r="AF3" s="11"/>
      <c r="AG3" s="10">
        <v>0.58333333333333326</v>
      </c>
      <c r="AH3" s="9" t="s">
        <v>19</v>
      </c>
      <c r="AI3" s="14">
        <v>0</v>
      </c>
      <c r="AJ3" s="15"/>
      <c r="AK3" s="15">
        <f t="shared" ref="AK3:AK9" si="0">MOD((AG3-B3),1)</f>
        <v>0.33333333333333326</v>
      </c>
      <c r="AL3" s="16"/>
      <c r="AM3" s="16"/>
      <c r="AN3" s="16" t="s">
        <v>21</v>
      </c>
      <c r="AO3" s="8"/>
      <c r="AP3" s="17"/>
      <c r="AQ3" s="17"/>
      <c r="AR3" s="17"/>
      <c r="AS3" s="17"/>
      <c r="AT3" s="18"/>
    </row>
    <row r="4" spans="1:52" s="8" customFormat="1" ht="21.75" customHeight="1" x14ac:dyDescent="0.25">
      <c r="A4" s="9">
        <v>2</v>
      </c>
      <c r="B4" s="10">
        <v>0.26041666666666669</v>
      </c>
      <c r="C4" s="9" t="s">
        <v>22</v>
      </c>
      <c r="D4" s="19" t="s">
        <v>23</v>
      </c>
      <c r="E4" s="20"/>
      <c r="F4" s="21"/>
      <c r="G4" s="15"/>
      <c r="H4" s="16"/>
      <c r="I4" s="15"/>
      <c r="J4" s="16"/>
      <c r="K4" s="16"/>
      <c r="L4" s="19" t="s">
        <v>23</v>
      </c>
      <c r="M4" s="15"/>
      <c r="N4" s="15"/>
      <c r="O4" s="15"/>
      <c r="P4" s="16"/>
      <c r="Q4" s="10"/>
      <c r="R4" s="16"/>
      <c r="S4" s="16"/>
      <c r="T4" s="19" t="s">
        <v>23</v>
      </c>
      <c r="U4" s="16"/>
      <c r="V4" s="16"/>
      <c r="W4" s="15"/>
      <c r="X4" s="16"/>
      <c r="Y4" s="16"/>
      <c r="Z4" s="16"/>
      <c r="AA4" s="16"/>
      <c r="AB4" s="19" t="s">
        <v>23</v>
      </c>
      <c r="AC4" s="16"/>
      <c r="AD4" s="16"/>
      <c r="AE4" s="16"/>
      <c r="AF4" s="16"/>
      <c r="AG4" s="10">
        <v>0.59375</v>
      </c>
      <c r="AH4" s="9" t="s">
        <v>22</v>
      </c>
      <c r="AI4" s="14">
        <v>0</v>
      </c>
      <c r="AJ4" s="15"/>
      <c r="AK4" s="15">
        <f t="shared" si="0"/>
        <v>0.33333333333333331</v>
      </c>
      <c r="AL4" s="16"/>
      <c r="AM4" s="16"/>
      <c r="AN4" s="16" t="s">
        <v>24</v>
      </c>
      <c r="AP4" s="17"/>
      <c r="AQ4" s="17"/>
      <c r="AR4" s="17"/>
      <c r="AS4" s="17"/>
      <c r="AT4" s="18"/>
      <c r="AW4" s="22"/>
      <c r="AX4" s="23"/>
      <c r="AY4" s="22"/>
      <c r="AZ4" s="22"/>
    </row>
    <row r="5" spans="1:52" s="8" customFormat="1" ht="21.75" customHeight="1" x14ac:dyDescent="0.25">
      <c r="A5" s="9">
        <v>3</v>
      </c>
      <c r="B5" s="10">
        <v>0.25</v>
      </c>
      <c r="C5" s="16" t="s">
        <v>25</v>
      </c>
      <c r="D5" s="24">
        <v>212</v>
      </c>
      <c r="E5" s="25">
        <v>0.25694444444444448</v>
      </c>
      <c r="F5" s="15">
        <v>0.33555555555555533</v>
      </c>
      <c r="G5" s="15">
        <f>MOD(F5-E5,1)</f>
        <v>7.8611111111110854E-2</v>
      </c>
      <c r="H5" s="16"/>
      <c r="I5" s="10">
        <f>M5-F5</f>
        <v>1.7361111111111105E-2</v>
      </c>
      <c r="J5" s="16"/>
      <c r="K5" s="16"/>
      <c r="L5" s="16">
        <v>206</v>
      </c>
      <c r="M5" s="15">
        <v>0.35291666666666643</v>
      </c>
      <c r="N5" s="15">
        <v>0.44319444444444828</v>
      </c>
      <c r="O5" s="15">
        <f>MOD(N5-M5,1)</f>
        <v>9.0277777777781842E-2</v>
      </c>
      <c r="P5" s="16"/>
      <c r="Q5" s="10">
        <f>U5-N5</f>
        <v>2.777777777778101E-2</v>
      </c>
      <c r="R5" s="15"/>
      <c r="S5" s="16"/>
      <c r="T5" s="16">
        <v>217</v>
      </c>
      <c r="U5" s="15">
        <v>0.47097222222222929</v>
      </c>
      <c r="V5" s="15">
        <v>0.56194444444444391</v>
      </c>
      <c r="W5" s="15">
        <f>MOD(V5-U5,1)</f>
        <v>9.0972222222214627E-2</v>
      </c>
      <c r="X5" s="19"/>
      <c r="Y5" s="16"/>
      <c r="Z5" s="16"/>
      <c r="AA5" s="13"/>
      <c r="AB5" s="16"/>
      <c r="AC5" s="16"/>
      <c r="AD5" s="16"/>
      <c r="AE5" s="16"/>
      <c r="AF5" s="16"/>
      <c r="AG5" s="10">
        <v>0.5625</v>
      </c>
      <c r="AH5" s="9" t="s">
        <v>19</v>
      </c>
      <c r="AI5" s="14">
        <v>176.51999999999998</v>
      </c>
      <c r="AJ5" s="10">
        <f>G5+O5+W5+AE5</f>
        <v>0.25986111111110732</v>
      </c>
      <c r="AK5" s="15">
        <f t="shared" si="0"/>
        <v>0.3125</v>
      </c>
      <c r="AL5" s="10">
        <f>I5+Y5+Q5</f>
        <v>4.5138888888892115E-2</v>
      </c>
      <c r="AM5" s="15"/>
      <c r="AN5" s="26" t="s">
        <v>26</v>
      </c>
      <c r="AP5" s="17"/>
      <c r="AQ5" s="17"/>
      <c r="AR5" s="17"/>
      <c r="AS5" s="17"/>
      <c r="AT5" s="18"/>
    </row>
    <row r="6" spans="1:52" s="8" customFormat="1" ht="21.75" customHeight="1" x14ac:dyDescent="0.25">
      <c r="A6" s="9">
        <v>4</v>
      </c>
      <c r="B6" s="10">
        <v>0.25</v>
      </c>
      <c r="C6" s="16" t="s">
        <v>27</v>
      </c>
      <c r="D6" s="16">
        <v>209</v>
      </c>
      <c r="E6" s="25">
        <v>0.2590277777777778</v>
      </c>
      <c r="F6" s="15">
        <v>0.32513888888888898</v>
      </c>
      <c r="G6" s="15">
        <f>MOD(F6-E6,1)</f>
        <v>6.6111111111111176E-2</v>
      </c>
      <c r="H6" s="16"/>
      <c r="I6" s="10">
        <f>M6-F6</f>
        <v>1.7361111111110772E-2</v>
      </c>
      <c r="J6" s="16"/>
      <c r="K6" s="16"/>
      <c r="L6" s="27">
        <v>213</v>
      </c>
      <c r="M6" s="15">
        <v>0.34249999999999975</v>
      </c>
      <c r="N6" s="15">
        <v>0.41194444444444428</v>
      </c>
      <c r="O6" s="15">
        <f>MOD(N6-M6,1)</f>
        <v>6.9444444444444531E-2</v>
      </c>
      <c r="P6" s="16"/>
      <c r="Q6" s="10">
        <f>U6-N6</f>
        <v>2.4305555555558023E-2</v>
      </c>
      <c r="R6" s="16"/>
      <c r="S6" s="16"/>
      <c r="T6" s="16">
        <v>201</v>
      </c>
      <c r="U6" s="15">
        <v>0.4362500000000023</v>
      </c>
      <c r="V6" s="15">
        <v>0.52861111111111103</v>
      </c>
      <c r="W6" s="15">
        <f>MOD(V6-U6,1)</f>
        <v>9.2361111111108729E-2</v>
      </c>
      <c r="X6" s="16"/>
      <c r="Y6" s="10">
        <f>AC6-V6</f>
        <v>1.6527777777777919E-2</v>
      </c>
      <c r="Z6" s="19"/>
      <c r="AA6" s="19"/>
      <c r="AB6" s="16">
        <v>220</v>
      </c>
      <c r="AC6" s="15">
        <v>0.54513888888888895</v>
      </c>
      <c r="AD6" s="25">
        <v>0.56874999999999998</v>
      </c>
      <c r="AE6" s="15">
        <f>MOD(AD6-AC6,1)</f>
        <v>2.3611111111111027E-2</v>
      </c>
      <c r="AF6" s="16"/>
      <c r="AG6" s="10">
        <v>0.57291666666666663</v>
      </c>
      <c r="AH6" s="9" t="s">
        <v>19</v>
      </c>
      <c r="AI6" s="14">
        <v>158.99</v>
      </c>
      <c r="AJ6" s="10">
        <f>G6+O6+W6+AE6</f>
        <v>0.25152777777777546</v>
      </c>
      <c r="AK6" s="15">
        <f t="shared" si="0"/>
        <v>0.32291666666666663</v>
      </c>
      <c r="AL6" s="10">
        <f>I6+Y6+Q6</f>
        <v>5.8194444444446713E-2</v>
      </c>
      <c r="AM6" s="15"/>
      <c r="AN6" s="28" t="s">
        <v>28</v>
      </c>
      <c r="AP6" s="17"/>
      <c r="AQ6" s="17"/>
      <c r="AR6" s="17"/>
      <c r="AS6" s="17"/>
      <c r="AT6" s="18"/>
    </row>
    <row r="7" spans="1:52" s="8" customFormat="1" ht="21.75" customHeight="1" x14ac:dyDescent="0.25">
      <c r="A7" s="29">
        <v>5</v>
      </c>
      <c r="B7" s="10">
        <v>0.25</v>
      </c>
      <c r="C7" s="16" t="s">
        <v>29</v>
      </c>
      <c r="D7" s="27">
        <v>213</v>
      </c>
      <c r="E7" s="15">
        <v>0.26041666666666669</v>
      </c>
      <c r="F7" s="15">
        <v>0.34249999999999975</v>
      </c>
      <c r="G7" s="15">
        <f>MOD(F7-E7,1)</f>
        <v>8.2083333333333064E-2</v>
      </c>
      <c r="H7" s="16"/>
      <c r="I7" s="10">
        <f>M7-F7</f>
        <v>2.0833333333333259E-2</v>
      </c>
      <c r="J7" s="16"/>
      <c r="K7" s="16"/>
      <c r="L7" s="27">
        <v>216</v>
      </c>
      <c r="M7" s="15">
        <v>0.36333333333333301</v>
      </c>
      <c r="N7" s="15">
        <v>0.47569444444444442</v>
      </c>
      <c r="O7" s="15">
        <f>MOD(N7-M7,1)</f>
        <v>0.11236111111111141</v>
      </c>
      <c r="P7" s="16" t="s">
        <v>30</v>
      </c>
      <c r="Q7" s="10">
        <f>U7-N7</f>
        <v>7.5000000000000067E-2</v>
      </c>
      <c r="R7" s="15"/>
      <c r="S7" s="16"/>
      <c r="T7" s="16">
        <v>203</v>
      </c>
      <c r="U7" s="15">
        <v>0.55069444444444449</v>
      </c>
      <c r="V7" s="25">
        <v>0.57430555555555551</v>
      </c>
      <c r="W7" s="15">
        <f>MOD(V7-U7,1)</f>
        <v>2.3611111111111027E-2</v>
      </c>
      <c r="X7" s="16"/>
      <c r="Y7" s="10"/>
      <c r="Z7" s="16"/>
      <c r="AA7" s="16"/>
      <c r="AB7" s="16"/>
      <c r="AC7" s="16"/>
      <c r="AD7" s="16"/>
      <c r="AE7" s="16"/>
      <c r="AF7" s="16"/>
      <c r="AG7" s="10">
        <v>0.57986111111111116</v>
      </c>
      <c r="AH7" s="9" t="s">
        <v>19</v>
      </c>
      <c r="AI7" s="14">
        <v>102.42</v>
      </c>
      <c r="AJ7" s="10">
        <f>G7+O7+W7+AE7</f>
        <v>0.2180555555555555</v>
      </c>
      <c r="AK7" s="15">
        <f t="shared" si="0"/>
        <v>0.32986111111111116</v>
      </c>
      <c r="AL7" s="10">
        <f>I7+Y7+Q7</f>
        <v>9.5833333333333326E-2</v>
      </c>
      <c r="AM7" s="15"/>
      <c r="AN7" s="9" t="s">
        <v>31</v>
      </c>
      <c r="AP7" s="17"/>
      <c r="AQ7" s="17"/>
      <c r="AR7" s="17"/>
      <c r="AS7" s="17"/>
      <c r="AT7" s="18"/>
    </row>
    <row r="8" spans="1:52" s="8" customFormat="1" ht="21.75" customHeight="1" x14ac:dyDescent="0.25">
      <c r="A8" s="9">
        <v>6</v>
      </c>
      <c r="B8" s="10">
        <v>0.25</v>
      </c>
      <c r="C8" s="16" t="s">
        <v>32</v>
      </c>
      <c r="D8" s="16">
        <v>211</v>
      </c>
      <c r="E8" s="25">
        <v>0.2673611111111111</v>
      </c>
      <c r="F8" s="15">
        <v>0.33902777777777782</v>
      </c>
      <c r="G8" s="15">
        <f>MOD(F8-E8,1)</f>
        <v>7.1666666666666712E-2</v>
      </c>
      <c r="H8" s="16"/>
      <c r="I8" s="10">
        <f>M8-F8</f>
        <v>2.0833333333333315E-2</v>
      </c>
      <c r="J8" s="11"/>
      <c r="K8" s="16"/>
      <c r="L8" s="16">
        <v>202</v>
      </c>
      <c r="M8" s="15">
        <v>0.35986111111111113</v>
      </c>
      <c r="N8" s="15">
        <v>0.45013888888888887</v>
      </c>
      <c r="O8" s="15">
        <f>MOD(N8-M8,1)</f>
        <v>9.0277777777777735E-2</v>
      </c>
      <c r="P8" s="16"/>
      <c r="Q8" s="10">
        <f>U8-N8</f>
        <v>2.777777777777779E-2</v>
      </c>
      <c r="R8" s="11"/>
      <c r="S8" s="16"/>
      <c r="T8" s="16">
        <v>205</v>
      </c>
      <c r="U8" s="15">
        <v>0.47791666666666666</v>
      </c>
      <c r="V8" s="15">
        <v>0.48958333333333331</v>
      </c>
      <c r="W8" s="15">
        <f>MOD(V8-U8,1)</f>
        <v>1.1666666666666659E-2</v>
      </c>
      <c r="X8" s="16" t="s">
        <v>33</v>
      </c>
      <c r="Y8" s="10">
        <f>AC8-V8</f>
        <v>4.4583333333332587E-2</v>
      </c>
      <c r="Z8" s="11"/>
      <c r="AA8" s="13"/>
      <c r="AB8" s="16">
        <v>206</v>
      </c>
      <c r="AC8" s="30">
        <v>0.5341666666666659</v>
      </c>
      <c r="AD8" s="25">
        <v>0.55763888888888891</v>
      </c>
      <c r="AE8" s="15">
        <f>MOD(AD8-AC8,1)</f>
        <v>2.3472222222223005E-2</v>
      </c>
      <c r="AF8" s="15" t="s">
        <v>32</v>
      </c>
      <c r="AG8" s="10">
        <v>0.5625</v>
      </c>
      <c r="AH8" s="9" t="s">
        <v>19</v>
      </c>
      <c r="AI8" s="14">
        <v>124.91</v>
      </c>
      <c r="AJ8" s="10">
        <f>G8+O8+W8+AE8</f>
        <v>0.19708333333333411</v>
      </c>
      <c r="AK8" s="15">
        <f t="shared" si="0"/>
        <v>0.3125</v>
      </c>
      <c r="AL8" s="10">
        <f>I8+Y8+Q8</f>
        <v>9.3194444444443691E-2</v>
      </c>
      <c r="AM8" s="13"/>
      <c r="AN8" s="9" t="s">
        <v>34</v>
      </c>
      <c r="AP8" s="17"/>
      <c r="AQ8" s="17"/>
      <c r="AR8" s="17"/>
      <c r="AS8" s="17"/>
      <c r="AT8" s="18"/>
    </row>
    <row r="9" spans="1:52" s="8" customFormat="1" ht="21.75" customHeight="1" x14ac:dyDescent="0.25">
      <c r="A9" s="9">
        <v>7</v>
      </c>
      <c r="B9" s="10">
        <v>0.25</v>
      </c>
      <c r="C9" s="9" t="s">
        <v>35</v>
      </c>
      <c r="D9" s="16">
        <v>202</v>
      </c>
      <c r="E9" s="15">
        <v>0.26250000000000001</v>
      </c>
      <c r="F9" s="15">
        <v>0.35986111111111113</v>
      </c>
      <c r="G9" s="15">
        <f>MOD(F9-E9,1)</f>
        <v>9.736111111111112E-2</v>
      </c>
      <c r="H9" s="16"/>
      <c r="I9" s="10">
        <f>M9-F9</f>
        <v>2.083333333333276E-2</v>
      </c>
      <c r="J9" s="16"/>
      <c r="K9" s="16"/>
      <c r="L9" s="16">
        <v>217</v>
      </c>
      <c r="M9" s="15">
        <v>0.38069444444444389</v>
      </c>
      <c r="N9" s="15">
        <v>0.47097222222222929</v>
      </c>
      <c r="O9" s="15">
        <f>MOD(N9-M9,1)</f>
        <v>9.0277777777785395E-2</v>
      </c>
      <c r="P9" s="16"/>
      <c r="Q9" s="10">
        <f>U9-N9</f>
        <v>2.777777777777074E-2</v>
      </c>
      <c r="R9" s="16"/>
      <c r="S9" s="16"/>
      <c r="T9" s="16">
        <v>208</v>
      </c>
      <c r="U9" s="15">
        <v>0.49875000000000003</v>
      </c>
      <c r="V9" s="15">
        <v>0.57630787037037035</v>
      </c>
      <c r="W9" s="15">
        <f>MOD(V9-U9,1)</f>
        <v>7.7557870370370319E-2</v>
      </c>
      <c r="X9" s="16" t="s">
        <v>36</v>
      </c>
      <c r="Y9" s="16"/>
      <c r="Z9" s="16"/>
      <c r="AA9" s="16"/>
      <c r="AB9" s="16"/>
      <c r="AC9" s="16"/>
      <c r="AD9" s="16"/>
      <c r="AE9" s="16"/>
      <c r="AF9" s="16"/>
      <c r="AG9" s="10">
        <v>0.57986111111111116</v>
      </c>
      <c r="AH9" s="9" t="s">
        <v>37</v>
      </c>
      <c r="AI9" s="14">
        <v>191.79</v>
      </c>
      <c r="AJ9" s="10">
        <f>G9+O9+W9+AE9</f>
        <v>0.26519675925926683</v>
      </c>
      <c r="AK9" s="15">
        <f t="shared" si="0"/>
        <v>0.32986111111111116</v>
      </c>
      <c r="AL9" s="10">
        <f>I9+Y9+Q9</f>
        <v>4.86111111111035E-2</v>
      </c>
      <c r="AM9" s="15"/>
      <c r="AN9" s="31" t="s">
        <v>38</v>
      </c>
      <c r="AP9" s="17"/>
      <c r="AQ9" s="17"/>
      <c r="AR9" s="17"/>
      <c r="AS9" s="17"/>
      <c r="AT9" s="18"/>
      <c r="AW9" s="22"/>
      <c r="AX9" s="23"/>
      <c r="AY9" s="22"/>
      <c r="AZ9" s="22"/>
    </row>
    <row r="10" spans="1:52" s="8" customFormat="1" ht="21.75" customHeight="1" x14ac:dyDescent="0.25">
      <c r="A10" s="9"/>
      <c r="B10" s="10"/>
      <c r="C10" s="9"/>
      <c r="D10" s="16"/>
      <c r="E10" s="15"/>
      <c r="F10" s="15"/>
      <c r="G10" s="15"/>
      <c r="H10" s="16"/>
      <c r="I10" s="10"/>
      <c r="J10" s="16"/>
      <c r="K10" s="16"/>
      <c r="L10" s="16"/>
      <c r="M10" s="15"/>
      <c r="N10" s="15"/>
      <c r="O10" s="15"/>
      <c r="P10" s="16"/>
      <c r="Q10" s="10"/>
      <c r="R10" s="16"/>
      <c r="S10" s="16"/>
      <c r="T10" s="16"/>
      <c r="U10" s="15"/>
      <c r="V10" s="15"/>
      <c r="W10" s="15"/>
      <c r="X10" s="16"/>
      <c r="Y10" s="16"/>
      <c r="Z10" s="16"/>
      <c r="AA10" s="16"/>
      <c r="AB10" s="16"/>
      <c r="AC10" s="16"/>
      <c r="AD10" s="16"/>
      <c r="AE10" s="16"/>
      <c r="AF10" s="16"/>
      <c r="AG10" s="10"/>
      <c r="AH10" s="9"/>
      <c r="AI10" s="14"/>
      <c r="AJ10" s="10"/>
      <c r="AK10" s="15"/>
      <c r="AL10" s="10"/>
      <c r="AM10" s="15"/>
      <c r="AN10" s="16"/>
      <c r="AP10" s="17"/>
      <c r="AQ10" s="17"/>
      <c r="AR10" s="17"/>
      <c r="AS10" s="17"/>
      <c r="AT10" s="18"/>
      <c r="AW10" s="22"/>
      <c r="AX10" s="23"/>
      <c r="AY10" s="22"/>
      <c r="AZ10" s="22"/>
    </row>
    <row r="11" spans="1:52" s="8" customFormat="1" ht="21.75" customHeight="1" x14ac:dyDescent="0.25">
      <c r="A11" s="29">
        <v>8</v>
      </c>
      <c r="B11" s="10">
        <v>0.25347222222222221</v>
      </c>
      <c r="C11" s="16" t="s">
        <v>39</v>
      </c>
      <c r="D11" s="27">
        <v>216</v>
      </c>
      <c r="E11" s="15">
        <v>0.25694444444444448</v>
      </c>
      <c r="F11" s="15">
        <v>0.36333333333333301</v>
      </c>
      <c r="G11" s="15">
        <f t="shared" ref="G11:G18" si="1">MOD(F11-E11,1)</f>
        <v>0.10638888888888853</v>
      </c>
      <c r="H11" s="16"/>
      <c r="I11" s="10">
        <f t="shared" ref="I11:I18" si="2">M11-F11</f>
        <v>2.0833333333333259E-2</v>
      </c>
      <c r="J11" s="16"/>
      <c r="K11" s="16"/>
      <c r="L11" s="27">
        <v>220</v>
      </c>
      <c r="M11" s="15">
        <v>0.38416666666666627</v>
      </c>
      <c r="N11" s="15">
        <v>0.4536111111111108</v>
      </c>
      <c r="O11" s="15">
        <f t="shared" ref="O11:O18" si="3">MOD(N11-M11,1)</f>
        <v>6.9444444444444531E-2</v>
      </c>
      <c r="P11" s="16"/>
      <c r="Q11" s="10">
        <f t="shared" ref="Q11:Q18" si="4">U11-N11</f>
        <v>2.8472222222222565E-2</v>
      </c>
      <c r="R11" s="16"/>
      <c r="S11" s="16"/>
      <c r="T11" s="16">
        <v>213</v>
      </c>
      <c r="U11" s="15">
        <v>0.48208333333333336</v>
      </c>
      <c r="V11" s="15">
        <v>0.57305555555555487</v>
      </c>
      <c r="W11" s="15">
        <f t="shared" ref="W11:W18" si="5">MOD(V11-U11,1)</f>
        <v>9.097222222222151E-2</v>
      </c>
      <c r="X11" s="16"/>
      <c r="Y11" s="16"/>
      <c r="Z11" s="16"/>
      <c r="AA11" s="16"/>
      <c r="AB11" s="16"/>
      <c r="AC11" s="16"/>
      <c r="AD11" s="16"/>
      <c r="AE11" s="16"/>
      <c r="AF11" s="16"/>
      <c r="AG11" s="10">
        <v>0.57638888888888884</v>
      </c>
      <c r="AH11" s="9" t="s">
        <v>19</v>
      </c>
      <c r="AI11" s="14">
        <v>156.80000000000001</v>
      </c>
      <c r="AJ11" s="10">
        <f>G11+O11+W11+AE11</f>
        <v>0.26680555555555457</v>
      </c>
      <c r="AK11" s="15">
        <f t="shared" ref="AK11:AK18" si="6">MOD((AG11-B11),1)</f>
        <v>0.32291666666666663</v>
      </c>
      <c r="AL11" s="10">
        <f t="shared" ref="AL11:AL18" si="7">I11+Y11+Q11</f>
        <v>4.9305555555555824E-2</v>
      </c>
      <c r="AM11" s="15"/>
      <c r="AN11" s="32" t="s">
        <v>40</v>
      </c>
      <c r="AP11" s="17"/>
      <c r="AQ11" s="17"/>
      <c r="AR11" s="17"/>
      <c r="AS11" s="17"/>
      <c r="AT11" s="18"/>
    </row>
    <row r="12" spans="1:52" s="8" customFormat="1" ht="21.75" customHeight="1" x14ac:dyDescent="0.25">
      <c r="A12" s="9">
        <v>9</v>
      </c>
      <c r="B12" s="10">
        <v>0.25694444444444442</v>
      </c>
      <c r="C12" s="16" t="s">
        <v>29</v>
      </c>
      <c r="D12" s="27">
        <v>214</v>
      </c>
      <c r="E12" s="15">
        <v>0.2673611111111111</v>
      </c>
      <c r="F12" s="15">
        <v>0.34944444444444417</v>
      </c>
      <c r="G12" s="15">
        <f t="shared" si="1"/>
        <v>8.2083333333333064E-2</v>
      </c>
      <c r="H12" s="16"/>
      <c r="I12" s="10">
        <f t="shared" si="2"/>
        <v>2.0833333333333259E-2</v>
      </c>
      <c r="J12" s="16"/>
      <c r="K12" s="16"/>
      <c r="L12" s="27">
        <v>218</v>
      </c>
      <c r="M12" s="15">
        <v>0.37027777777777743</v>
      </c>
      <c r="N12" s="15">
        <v>0.4826388888888889</v>
      </c>
      <c r="O12" s="15">
        <f t="shared" si="3"/>
        <v>0.11236111111111147</v>
      </c>
      <c r="P12" s="16" t="s">
        <v>30</v>
      </c>
      <c r="Q12" s="10">
        <f t="shared" si="4"/>
        <v>7.3750000000000038E-2</v>
      </c>
      <c r="R12" s="16"/>
      <c r="S12" s="16"/>
      <c r="T12" s="16">
        <v>204</v>
      </c>
      <c r="U12" s="15">
        <v>0.55638888888888893</v>
      </c>
      <c r="V12" s="25">
        <v>0.57986111111111105</v>
      </c>
      <c r="W12" s="15">
        <f t="shared" si="5"/>
        <v>2.3472222222222117E-2</v>
      </c>
      <c r="X12" s="16" t="s">
        <v>32</v>
      </c>
      <c r="Y12" s="16"/>
      <c r="Z12" s="16"/>
      <c r="AA12" s="16"/>
      <c r="AB12" s="16"/>
      <c r="AC12" s="16"/>
      <c r="AD12" s="16"/>
      <c r="AE12" s="16"/>
      <c r="AF12" s="16"/>
      <c r="AG12" s="10">
        <v>0.58333333333333326</v>
      </c>
      <c r="AH12" s="9" t="s">
        <v>19</v>
      </c>
      <c r="AI12" s="14">
        <v>102.42</v>
      </c>
      <c r="AJ12" s="10">
        <f>G12+O12+W12+AE12</f>
        <v>0.21791666666666665</v>
      </c>
      <c r="AK12" s="15">
        <f t="shared" si="6"/>
        <v>0.32638888888888884</v>
      </c>
      <c r="AL12" s="10">
        <f t="shared" si="7"/>
        <v>9.4583333333333297E-2</v>
      </c>
      <c r="AM12" s="15"/>
      <c r="AN12" s="16" t="s">
        <v>41</v>
      </c>
      <c r="AP12" s="17"/>
      <c r="AQ12" s="17"/>
      <c r="AR12" s="17"/>
      <c r="AS12" s="17"/>
      <c r="AT12" s="18"/>
    </row>
    <row r="13" spans="1:52" s="8" customFormat="1" ht="21.75" customHeight="1" x14ac:dyDescent="0.25">
      <c r="A13" s="9">
        <v>10</v>
      </c>
      <c r="B13" s="10">
        <v>0.25694444444444442</v>
      </c>
      <c r="C13" s="16" t="s">
        <v>27</v>
      </c>
      <c r="D13" s="16">
        <v>210</v>
      </c>
      <c r="E13" s="25">
        <v>0.26944444444444443</v>
      </c>
      <c r="F13" s="15">
        <v>0.3320833333333334</v>
      </c>
      <c r="G13" s="15">
        <f t="shared" si="1"/>
        <v>6.2638888888888966E-2</v>
      </c>
      <c r="H13" s="16"/>
      <c r="I13" s="10">
        <f t="shared" si="2"/>
        <v>1.7361111111110772E-2</v>
      </c>
      <c r="J13" s="16"/>
      <c r="K13" s="16"/>
      <c r="L13" s="27">
        <v>214</v>
      </c>
      <c r="M13" s="15">
        <v>0.34944444444444417</v>
      </c>
      <c r="N13" s="15">
        <v>0.4188888888888887</v>
      </c>
      <c r="O13" s="15">
        <f t="shared" si="3"/>
        <v>6.9444444444444531E-2</v>
      </c>
      <c r="P13" s="16"/>
      <c r="Q13" s="10">
        <f t="shared" si="4"/>
        <v>2.7777777777777679E-2</v>
      </c>
      <c r="R13" s="16"/>
      <c r="S13" s="16"/>
      <c r="T13" s="27">
        <v>219</v>
      </c>
      <c r="U13" s="15">
        <v>0.44666666666666638</v>
      </c>
      <c r="V13" s="15">
        <v>0.53972222222222188</v>
      </c>
      <c r="W13" s="15">
        <f t="shared" si="5"/>
        <v>9.3055555555555503E-2</v>
      </c>
      <c r="X13" s="16"/>
      <c r="Y13" s="10"/>
      <c r="Z13" s="16"/>
      <c r="AA13" s="13"/>
      <c r="AB13" s="16"/>
      <c r="AC13" s="16"/>
      <c r="AD13" s="16"/>
      <c r="AE13" s="16"/>
      <c r="AF13" s="16"/>
      <c r="AG13" s="10">
        <v>0.54513888888888884</v>
      </c>
      <c r="AH13" s="9" t="s">
        <v>19</v>
      </c>
      <c r="AI13" s="14">
        <v>158.99</v>
      </c>
      <c r="AJ13" s="10">
        <f>G13+O13+W13+AE13</f>
        <v>0.225138888888889</v>
      </c>
      <c r="AK13" s="15">
        <f t="shared" si="6"/>
        <v>0.28819444444444442</v>
      </c>
      <c r="AL13" s="10">
        <f t="shared" si="7"/>
        <v>4.5138888888888451E-2</v>
      </c>
      <c r="AM13" s="15"/>
      <c r="AN13" s="9" t="s">
        <v>42</v>
      </c>
      <c r="AP13" s="17"/>
      <c r="AQ13" s="17"/>
      <c r="AR13" s="17"/>
      <c r="AS13" s="17"/>
      <c r="AT13" s="18"/>
    </row>
    <row r="14" spans="1:52" s="8" customFormat="1" ht="21.75" customHeight="1" x14ac:dyDescent="0.25">
      <c r="A14" s="9">
        <v>11</v>
      </c>
      <c r="B14" s="10">
        <v>0.25694444444444442</v>
      </c>
      <c r="C14" s="9" t="s">
        <v>43</v>
      </c>
      <c r="D14" s="16">
        <v>204</v>
      </c>
      <c r="E14" s="15">
        <v>0.26944444444444443</v>
      </c>
      <c r="F14" s="15">
        <v>0.37374999999999992</v>
      </c>
      <c r="G14" s="15">
        <f t="shared" si="1"/>
        <v>0.10430555555555548</v>
      </c>
      <c r="H14" s="16"/>
      <c r="I14" s="10">
        <f t="shared" si="2"/>
        <v>2.0833333333332982E-2</v>
      </c>
      <c r="J14" s="16"/>
      <c r="K14" s="16"/>
      <c r="L14" s="16">
        <v>207</v>
      </c>
      <c r="M14" s="15">
        <v>0.3945833333333329</v>
      </c>
      <c r="N14" s="15">
        <v>0.48680555555555555</v>
      </c>
      <c r="O14" s="15">
        <f t="shared" si="3"/>
        <v>9.222222222222265E-2</v>
      </c>
      <c r="P14" s="16"/>
      <c r="Q14" s="10">
        <f t="shared" si="4"/>
        <v>3.0694444444444413E-2</v>
      </c>
      <c r="R14" s="16"/>
      <c r="S14" s="16"/>
      <c r="T14" s="16">
        <v>215</v>
      </c>
      <c r="U14" s="15">
        <v>0.51749999999999996</v>
      </c>
      <c r="V14" s="25">
        <v>0.54097222222222219</v>
      </c>
      <c r="W14" s="15">
        <f t="shared" si="5"/>
        <v>2.3472222222222228E-2</v>
      </c>
      <c r="X14" s="16"/>
      <c r="Y14" s="16"/>
      <c r="Z14" s="16"/>
      <c r="AA14" s="16"/>
      <c r="AB14" s="16"/>
      <c r="AC14" s="16"/>
      <c r="AD14" s="16"/>
      <c r="AE14" s="16"/>
      <c r="AF14" s="16"/>
      <c r="AG14" s="10">
        <v>0.54513888888888884</v>
      </c>
      <c r="AH14" s="9" t="s">
        <v>19</v>
      </c>
      <c r="AI14" s="14">
        <v>158.59</v>
      </c>
      <c r="AJ14" s="10">
        <f>G14+O14+W14+AE14</f>
        <v>0.22000000000000036</v>
      </c>
      <c r="AK14" s="15">
        <f t="shared" si="6"/>
        <v>0.28819444444444442</v>
      </c>
      <c r="AL14" s="10">
        <f t="shared" si="7"/>
        <v>5.1527777777777395E-2</v>
      </c>
      <c r="AM14" s="15"/>
      <c r="AN14" s="16" t="s">
        <v>44</v>
      </c>
      <c r="AP14" s="17"/>
      <c r="AQ14" s="17"/>
      <c r="AR14" s="17"/>
      <c r="AS14" s="17"/>
      <c r="AT14" s="18"/>
    </row>
    <row r="15" spans="1:52" s="8" customFormat="1" ht="21.75" customHeight="1" x14ac:dyDescent="0.25">
      <c r="A15" s="29">
        <v>12</v>
      </c>
      <c r="B15" s="10">
        <v>0.26041666666666663</v>
      </c>
      <c r="C15" s="16" t="s">
        <v>39</v>
      </c>
      <c r="D15" s="27">
        <v>218</v>
      </c>
      <c r="E15" s="15">
        <v>0.27083333333333331</v>
      </c>
      <c r="F15" s="15">
        <v>0.37027777777777743</v>
      </c>
      <c r="G15" s="15">
        <f t="shared" si="1"/>
        <v>9.9444444444444113E-2</v>
      </c>
      <c r="H15" s="16"/>
      <c r="I15" s="10">
        <f t="shared" si="2"/>
        <v>2.0833333333333259E-2</v>
      </c>
      <c r="J15" s="16"/>
      <c r="K15" s="16"/>
      <c r="L15" s="27">
        <v>222</v>
      </c>
      <c r="M15" s="15">
        <v>0.39111111111111069</v>
      </c>
      <c r="N15" s="15">
        <v>0.49652777777777773</v>
      </c>
      <c r="O15" s="15">
        <f t="shared" si="3"/>
        <v>0.10541666666666705</v>
      </c>
      <c r="P15" s="16" t="s">
        <v>30</v>
      </c>
      <c r="Q15" s="10">
        <f t="shared" si="4"/>
        <v>4.1666666666666685E-2</v>
      </c>
      <c r="R15" s="16"/>
      <c r="S15" s="16"/>
      <c r="T15" s="19" t="s">
        <v>45</v>
      </c>
      <c r="U15" s="20">
        <v>0.53819444444444442</v>
      </c>
      <c r="V15" s="20">
        <v>0.59027777777777779</v>
      </c>
      <c r="W15" s="15">
        <f t="shared" si="5"/>
        <v>5.208333333333337E-2</v>
      </c>
      <c r="X15" s="16"/>
      <c r="Y15" s="10"/>
      <c r="Z15" s="33"/>
      <c r="AA15" s="9"/>
      <c r="AB15" s="16"/>
      <c r="AC15" s="16"/>
      <c r="AD15" s="16"/>
      <c r="AE15" s="16"/>
      <c r="AF15" s="16"/>
      <c r="AG15" s="10">
        <v>0.59375</v>
      </c>
      <c r="AH15" s="9" t="s">
        <v>19</v>
      </c>
      <c r="AI15" s="14">
        <v>89.34</v>
      </c>
      <c r="AJ15" s="10">
        <f>G15+O15</f>
        <v>0.20486111111111116</v>
      </c>
      <c r="AK15" s="15">
        <f t="shared" si="6"/>
        <v>0.33333333333333337</v>
      </c>
      <c r="AL15" s="10">
        <f t="shared" si="7"/>
        <v>6.2499999999999944E-2</v>
      </c>
      <c r="AM15" s="15">
        <f>W15</f>
        <v>5.208333333333337E-2</v>
      </c>
      <c r="AN15" s="16" t="s">
        <v>46</v>
      </c>
      <c r="AP15" s="17"/>
      <c r="AQ15" s="17"/>
      <c r="AR15" s="17"/>
      <c r="AS15" s="17"/>
      <c r="AT15" s="18"/>
    </row>
    <row r="16" spans="1:52" s="8" customFormat="1" ht="21.75" customHeight="1" x14ac:dyDescent="0.25">
      <c r="A16" s="34">
        <v>13</v>
      </c>
      <c r="B16" s="10">
        <v>0.26041666666666663</v>
      </c>
      <c r="C16" s="9" t="s">
        <v>35</v>
      </c>
      <c r="D16" s="16">
        <v>203</v>
      </c>
      <c r="E16" s="15">
        <v>0.27152777777777776</v>
      </c>
      <c r="F16" s="15">
        <v>0.36680555555555588</v>
      </c>
      <c r="G16" s="15">
        <f t="shared" si="1"/>
        <v>9.5277777777778128E-2</v>
      </c>
      <c r="H16" s="16"/>
      <c r="I16" s="10">
        <f t="shared" si="2"/>
        <v>2.0833333333333037E-2</v>
      </c>
      <c r="J16" s="16"/>
      <c r="K16" s="16"/>
      <c r="L16" s="16">
        <v>205</v>
      </c>
      <c r="M16" s="15">
        <v>0.38763888888888892</v>
      </c>
      <c r="N16" s="15">
        <v>0.4777777777777778</v>
      </c>
      <c r="O16" s="15">
        <f t="shared" si="3"/>
        <v>9.013888888888888E-2</v>
      </c>
      <c r="P16" s="16"/>
      <c r="Q16" s="10">
        <f t="shared" si="4"/>
        <v>3.0555555555555503E-2</v>
      </c>
      <c r="R16" s="15"/>
      <c r="S16" s="16"/>
      <c r="T16" s="16">
        <v>209</v>
      </c>
      <c r="U16" s="15">
        <v>0.5083333333333333</v>
      </c>
      <c r="V16" s="25">
        <v>0.52986111111111112</v>
      </c>
      <c r="W16" s="15">
        <f t="shared" si="5"/>
        <v>2.1527777777777812E-2</v>
      </c>
      <c r="X16" s="16" t="s">
        <v>32</v>
      </c>
      <c r="Y16" s="10">
        <f>AC16-V16</f>
        <v>1.388888888888884E-2</v>
      </c>
      <c r="Z16" s="16"/>
      <c r="AA16" s="16"/>
      <c r="AB16" s="19" t="s">
        <v>45</v>
      </c>
      <c r="AC16" s="20">
        <f>V16+TIME(0,20,0)</f>
        <v>0.54374999999999996</v>
      </c>
      <c r="AD16" s="20">
        <f>AG16-TIME(0,5,0)</f>
        <v>0.59027777777777779</v>
      </c>
      <c r="AE16" s="25">
        <f>MOD(AD16-AC16,1)</f>
        <v>4.6527777777777835E-2</v>
      </c>
      <c r="AF16" s="16"/>
      <c r="AG16" s="10">
        <v>0.59375</v>
      </c>
      <c r="AH16" s="9" t="s">
        <v>19</v>
      </c>
      <c r="AI16" s="14">
        <v>148</v>
      </c>
      <c r="AJ16" s="10">
        <f>G16+O16+W16</f>
        <v>0.20694444444444482</v>
      </c>
      <c r="AK16" s="15">
        <f t="shared" si="6"/>
        <v>0.33333333333333337</v>
      </c>
      <c r="AL16" s="10">
        <f t="shared" si="7"/>
        <v>6.5277777777777379E-2</v>
      </c>
      <c r="AM16" s="15">
        <f>AE16</f>
        <v>4.6527777777777835E-2</v>
      </c>
      <c r="AN16" s="16" t="s">
        <v>47</v>
      </c>
      <c r="AP16" s="17"/>
      <c r="AQ16" s="17"/>
      <c r="AR16" s="17"/>
      <c r="AS16" s="17"/>
      <c r="AT16" s="18"/>
    </row>
    <row r="17" spans="1:46" s="8" customFormat="1" ht="21.75" customHeight="1" x14ac:dyDescent="0.25">
      <c r="A17" s="9">
        <v>14</v>
      </c>
      <c r="B17" s="10">
        <v>0.2638888888888889</v>
      </c>
      <c r="C17" s="16" t="s">
        <v>29</v>
      </c>
      <c r="D17" s="27">
        <v>215</v>
      </c>
      <c r="E17" s="15">
        <v>0.27430555555555552</v>
      </c>
      <c r="F17" s="15">
        <v>0.35638888888888859</v>
      </c>
      <c r="G17" s="15">
        <f t="shared" si="1"/>
        <v>8.2083333333333064E-2</v>
      </c>
      <c r="H17" s="16"/>
      <c r="I17" s="10">
        <f t="shared" si="2"/>
        <v>2.0833333333333259E-2</v>
      </c>
      <c r="J17" s="33"/>
      <c r="K17" s="16"/>
      <c r="L17" s="27">
        <v>219</v>
      </c>
      <c r="M17" s="15">
        <v>0.37722222222222185</v>
      </c>
      <c r="N17" s="15">
        <v>0.44666666666666638</v>
      </c>
      <c r="O17" s="15">
        <f t="shared" si="3"/>
        <v>6.9444444444444531E-2</v>
      </c>
      <c r="P17" s="19"/>
      <c r="Q17" s="10">
        <f t="shared" si="4"/>
        <v>2.7777777777777679E-2</v>
      </c>
      <c r="R17" s="33"/>
      <c r="S17" s="16"/>
      <c r="T17" s="16">
        <v>212</v>
      </c>
      <c r="U17" s="15">
        <v>0.47444444444444406</v>
      </c>
      <c r="V17" s="15">
        <v>0.56749999999999989</v>
      </c>
      <c r="W17" s="15">
        <f t="shared" si="5"/>
        <v>9.3055555555555836E-2</v>
      </c>
      <c r="X17" s="11"/>
      <c r="Y17" s="16"/>
      <c r="Z17" s="16"/>
      <c r="AA17" s="16"/>
      <c r="AB17" s="16"/>
      <c r="AC17" s="16"/>
      <c r="AD17" s="16"/>
      <c r="AE17" s="16"/>
      <c r="AF17" s="16"/>
      <c r="AG17" s="10">
        <v>0.57291666666666663</v>
      </c>
      <c r="AH17" s="9" t="s">
        <v>19</v>
      </c>
      <c r="AI17" s="14">
        <v>156.80000000000001</v>
      </c>
      <c r="AJ17" s="10">
        <f>G17+O17+W17+AE17</f>
        <v>0.24458333333333343</v>
      </c>
      <c r="AK17" s="15">
        <f t="shared" si="6"/>
        <v>0.30902777777777773</v>
      </c>
      <c r="AL17" s="10">
        <f t="shared" si="7"/>
        <v>4.8611111111110938E-2</v>
      </c>
      <c r="AM17" s="15"/>
      <c r="AN17" s="16" t="s">
        <v>48</v>
      </c>
      <c r="AP17" s="17"/>
      <c r="AQ17" s="17"/>
      <c r="AR17" s="17"/>
      <c r="AS17" s="17"/>
      <c r="AT17" s="18"/>
    </row>
    <row r="18" spans="1:46" s="8" customFormat="1" ht="21.75" customHeight="1" x14ac:dyDescent="0.25">
      <c r="A18" s="9">
        <v>15</v>
      </c>
      <c r="B18" s="10">
        <v>0.2638888888888889</v>
      </c>
      <c r="C18" s="16" t="s">
        <v>49</v>
      </c>
      <c r="D18" s="16">
        <v>201</v>
      </c>
      <c r="E18" s="25">
        <v>0.27430555555555552</v>
      </c>
      <c r="F18" s="15">
        <v>0.34597222222222229</v>
      </c>
      <c r="G18" s="15">
        <f t="shared" si="1"/>
        <v>7.1666666666666767E-2</v>
      </c>
      <c r="H18" s="16"/>
      <c r="I18" s="10">
        <f t="shared" si="2"/>
        <v>2.0833333333333592E-2</v>
      </c>
      <c r="J18" s="11"/>
      <c r="K18" s="16"/>
      <c r="L18" s="16">
        <v>203</v>
      </c>
      <c r="M18" s="15">
        <v>0.36680555555555588</v>
      </c>
      <c r="N18" s="15">
        <v>0.45708333333333828</v>
      </c>
      <c r="O18" s="15">
        <f t="shared" si="3"/>
        <v>9.0277777777782398E-2</v>
      </c>
      <c r="P18" s="16"/>
      <c r="Q18" s="10">
        <f t="shared" si="4"/>
        <v>2.9722222222217265E-2</v>
      </c>
      <c r="R18" s="11"/>
      <c r="S18" s="16"/>
      <c r="T18" s="16">
        <v>207</v>
      </c>
      <c r="U18" s="15">
        <v>0.48680555555555555</v>
      </c>
      <c r="V18" s="15">
        <v>0.57861111111111085</v>
      </c>
      <c r="W18" s="15">
        <f t="shared" si="5"/>
        <v>9.1805555555555307E-2</v>
      </c>
      <c r="X18" s="16"/>
      <c r="Y18" s="10"/>
      <c r="Z18" s="33"/>
      <c r="AA18" s="16"/>
      <c r="AB18" s="16"/>
      <c r="AC18" s="16"/>
      <c r="AD18" s="16"/>
      <c r="AE18" s="16"/>
      <c r="AF18" s="16"/>
      <c r="AG18" s="10">
        <v>0.58333333333333326</v>
      </c>
      <c r="AH18" s="9" t="s">
        <v>19</v>
      </c>
      <c r="AI18" s="14">
        <v>189.3</v>
      </c>
      <c r="AJ18" s="10">
        <f>G18+O18+W18+AE18</f>
        <v>0.25375000000000447</v>
      </c>
      <c r="AK18" s="15">
        <f t="shared" si="6"/>
        <v>0.31944444444444436</v>
      </c>
      <c r="AL18" s="10">
        <f t="shared" si="7"/>
        <v>5.0555555555550857E-2</v>
      </c>
      <c r="AM18" s="15"/>
      <c r="AN18" s="31" t="s">
        <v>50</v>
      </c>
      <c r="AP18" s="17"/>
      <c r="AQ18" s="17"/>
      <c r="AR18" s="17"/>
      <c r="AS18" s="17"/>
      <c r="AT18" s="18"/>
    </row>
    <row r="19" spans="1:46" s="8" customFormat="1" ht="21.75" customHeight="1" x14ac:dyDescent="0.25">
      <c r="A19" s="9"/>
      <c r="B19" s="10"/>
      <c r="C19" s="16"/>
      <c r="D19" s="16"/>
      <c r="E19" s="25"/>
      <c r="F19" s="15"/>
      <c r="G19" s="15"/>
      <c r="H19" s="16"/>
      <c r="I19" s="10"/>
      <c r="J19" s="11"/>
      <c r="K19" s="16"/>
      <c r="L19" s="16"/>
      <c r="M19" s="15"/>
      <c r="N19" s="15"/>
      <c r="O19" s="15"/>
      <c r="P19" s="16"/>
      <c r="Q19" s="10"/>
      <c r="R19" s="11"/>
      <c r="S19" s="16"/>
      <c r="T19" s="16"/>
      <c r="U19" s="15"/>
      <c r="V19" s="15"/>
      <c r="W19" s="15"/>
      <c r="X19" s="16"/>
      <c r="Y19" s="10"/>
      <c r="Z19" s="33"/>
      <c r="AA19" s="16"/>
      <c r="AB19" s="16"/>
      <c r="AC19" s="16"/>
      <c r="AD19" s="16"/>
      <c r="AE19" s="16"/>
      <c r="AF19" s="16"/>
      <c r="AG19" s="10"/>
      <c r="AH19" s="9"/>
      <c r="AI19" s="14"/>
      <c r="AJ19" s="10"/>
      <c r="AK19" s="15"/>
      <c r="AL19" s="10"/>
      <c r="AM19" s="15"/>
      <c r="AN19" s="16"/>
      <c r="AP19" s="17"/>
      <c r="AQ19" s="17"/>
      <c r="AR19" s="17"/>
      <c r="AS19" s="17"/>
      <c r="AT19" s="18"/>
    </row>
    <row r="20" spans="1:46" s="8" customFormat="1" ht="21.75" customHeight="1" x14ac:dyDescent="0.25">
      <c r="A20" s="9">
        <v>16</v>
      </c>
      <c r="B20" s="10">
        <v>0.2673611111111111</v>
      </c>
      <c r="C20" s="9" t="s">
        <v>51</v>
      </c>
      <c r="D20" s="16">
        <v>207</v>
      </c>
      <c r="E20" s="15">
        <v>0.27638888888888885</v>
      </c>
      <c r="F20" s="15">
        <v>0.30430555555555555</v>
      </c>
      <c r="G20" s="15">
        <f t="shared" ref="G20:G27" si="8">MOD(F20-E20,1)</f>
        <v>2.7916666666666701E-2</v>
      </c>
      <c r="H20" s="16"/>
      <c r="I20" s="10">
        <f t="shared" ref="I20:I27" si="9">M20-F20</f>
        <v>1.1666666666666659E-2</v>
      </c>
      <c r="J20" s="16"/>
      <c r="K20" s="9" t="s">
        <v>32</v>
      </c>
      <c r="L20" s="16">
        <v>205</v>
      </c>
      <c r="M20" s="25">
        <v>0.31597222222222221</v>
      </c>
      <c r="N20" s="15">
        <v>0.38763888888888892</v>
      </c>
      <c r="O20" s="15">
        <f t="shared" ref="O20:O27" si="10">MOD(N20-M20,1)</f>
        <v>7.1666666666666712E-2</v>
      </c>
      <c r="P20" s="16"/>
      <c r="Q20" s="10">
        <f t="shared" ref="Q20:Q27" si="11">U20-N20</f>
        <v>2.0833333333332982E-2</v>
      </c>
      <c r="R20" s="16"/>
      <c r="S20" s="16"/>
      <c r="T20" s="16">
        <v>208</v>
      </c>
      <c r="U20" s="15">
        <v>0.4084722222222219</v>
      </c>
      <c r="V20" s="15">
        <v>0.49875000000000003</v>
      </c>
      <c r="W20" s="15">
        <f t="shared" ref="W20:W27" si="12">MOD(V20-U20,1)</f>
        <v>9.0277777777778123E-2</v>
      </c>
      <c r="X20" s="16"/>
      <c r="Y20" s="10">
        <f>AC20-V20</f>
        <v>2.9722222222222205E-2</v>
      </c>
      <c r="Z20" s="16"/>
      <c r="AA20" s="16" t="s">
        <v>32</v>
      </c>
      <c r="AB20" s="16">
        <v>209</v>
      </c>
      <c r="AC20" s="25">
        <v>0.52847222222222223</v>
      </c>
      <c r="AD20" s="15">
        <v>0.58741898148148153</v>
      </c>
      <c r="AE20" s="15">
        <f>MOD(AD20-AC20,1)</f>
        <v>5.8946759259259296E-2</v>
      </c>
      <c r="AF20" s="16" t="s">
        <v>36</v>
      </c>
      <c r="AG20" s="10">
        <v>0.59375</v>
      </c>
      <c r="AH20" s="9" t="s">
        <v>37</v>
      </c>
      <c r="AI20" s="14">
        <v>142.63999999999999</v>
      </c>
      <c r="AJ20" s="10">
        <f>G20+O20+W20+AE20</f>
        <v>0.24880787037037083</v>
      </c>
      <c r="AK20" s="15">
        <f t="shared" ref="AK20:AK27" si="13">MOD((AG20-B20),1)</f>
        <v>0.3263888888888889</v>
      </c>
      <c r="AL20" s="10">
        <f t="shared" ref="AL20:AL27" si="14">I20+Y20+Q20</f>
        <v>6.2222222222221846E-2</v>
      </c>
      <c r="AM20" s="15"/>
      <c r="AN20" s="32" t="s">
        <v>52</v>
      </c>
      <c r="AP20" s="17"/>
      <c r="AQ20" s="17"/>
      <c r="AR20" s="17"/>
      <c r="AS20" s="17"/>
      <c r="AT20" s="18"/>
    </row>
    <row r="21" spans="1:46" s="8" customFormat="1" ht="21.75" customHeight="1" x14ac:dyDescent="0.25">
      <c r="A21" s="9">
        <v>17</v>
      </c>
      <c r="B21" s="10">
        <v>0.2673611111111111</v>
      </c>
      <c r="C21" s="16" t="s">
        <v>39</v>
      </c>
      <c r="D21" s="27">
        <v>219</v>
      </c>
      <c r="E21" s="15">
        <v>0.27777777777777779</v>
      </c>
      <c r="F21" s="15">
        <v>0.37722222222222185</v>
      </c>
      <c r="G21" s="15">
        <f t="shared" si="8"/>
        <v>9.9444444444444058E-2</v>
      </c>
      <c r="H21" s="16"/>
      <c r="I21" s="10">
        <f t="shared" si="9"/>
        <v>2.0833333333333259E-2</v>
      </c>
      <c r="J21" s="16"/>
      <c r="K21" s="16"/>
      <c r="L21" s="27">
        <v>223</v>
      </c>
      <c r="M21" s="15">
        <v>0.39805555555555511</v>
      </c>
      <c r="N21" s="15">
        <v>0.5</v>
      </c>
      <c r="O21" s="15">
        <f t="shared" si="10"/>
        <v>0.10194444444444489</v>
      </c>
      <c r="P21" s="16" t="s">
        <v>30</v>
      </c>
      <c r="Q21" s="10">
        <f t="shared" si="11"/>
        <v>6.1944444444443914E-2</v>
      </c>
      <c r="R21" s="16"/>
      <c r="S21" s="16"/>
      <c r="T21" s="16">
        <v>217</v>
      </c>
      <c r="U21" s="15">
        <v>0.56194444444444391</v>
      </c>
      <c r="V21" s="25">
        <v>0.5854166666666667</v>
      </c>
      <c r="W21" s="15">
        <f t="shared" si="12"/>
        <v>2.3472222222222783E-2</v>
      </c>
      <c r="X21" s="16" t="s">
        <v>32</v>
      </c>
      <c r="Y21" s="10"/>
      <c r="Z21" s="16"/>
      <c r="AA21" s="16"/>
      <c r="AB21" s="16"/>
      <c r="AC21" s="16"/>
      <c r="AD21" s="16"/>
      <c r="AE21" s="16"/>
      <c r="AF21" s="16"/>
      <c r="AG21" s="10">
        <v>0.59027777777777779</v>
      </c>
      <c r="AH21" s="9" t="s">
        <v>19</v>
      </c>
      <c r="AI21" s="14">
        <v>102.42</v>
      </c>
      <c r="AJ21" s="10">
        <f>G21+O21+W21+AE21</f>
        <v>0.22486111111111173</v>
      </c>
      <c r="AK21" s="15">
        <f t="shared" si="13"/>
        <v>0.32291666666666669</v>
      </c>
      <c r="AL21" s="10">
        <f t="shared" si="14"/>
        <v>8.2777777777777173E-2</v>
      </c>
      <c r="AM21" s="15"/>
      <c r="AN21" s="9" t="s">
        <v>53</v>
      </c>
      <c r="AP21" s="17"/>
      <c r="AQ21" s="17"/>
      <c r="AR21" s="17"/>
      <c r="AS21" s="17"/>
      <c r="AT21" s="18"/>
    </row>
    <row r="22" spans="1:46" s="8" customFormat="1" ht="21.75" customHeight="1" x14ac:dyDescent="0.25">
      <c r="A22" s="9">
        <v>18</v>
      </c>
      <c r="B22" s="10">
        <v>0.2673611111111111</v>
      </c>
      <c r="C22" s="9" t="s">
        <v>36</v>
      </c>
      <c r="D22" s="16">
        <v>205</v>
      </c>
      <c r="E22" s="15">
        <v>0.27847222222222223</v>
      </c>
      <c r="F22" s="25">
        <v>0.31736111111111115</v>
      </c>
      <c r="G22" s="15">
        <f t="shared" si="8"/>
        <v>3.8888888888888917E-2</v>
      </c>
      <c r="H22" s="16"/>
      <c r="I22" s="10">
        <f t="shared" si="9"/>
        <v>1.4722222222222248E-2</v>
      </c>
      <c r="J22" s="16"/>
      <c r="K22" s="16"/>
      <c r="L22" s="16">
        <v>210</v>
      </c>
      <c r="M22" s="15">
        <v>0.3320833333333334</v>
      </c>
      <c r="N22" s="15">
        <v>0.42236111111111091</v>
      </c>
      <c r="O22" s="15">
        <f t="shared" si="10"/>
        <v>9.0277777777777513E-2</v>
      </c>
      <c r="P22" s="16"/>
      <c r="Q22" s="10">
        <f t="shared" si="11"/>
        <v>2.7777777777777957E-2</v>
      </c>
      <c r="R22" s="16"/>
      <c r="S22" s="16"/>
      <c r="T22" s="16">
        <v>202</v>
      </c>
      <c r="U22" s="15">
        <v>0.45013888888888887</v>
      </c>
      <c r="V22" s="15">
        <v>0.4861111111111111</v>
      </c>
      <c r="W22" s="15">
        <f t="shared" si="12"/>
        <v>3.5972222222222239E-2</v>
      </c>
      <c r="X22" s="16" t="s">
        <v>30</v>
      </c>
      <c r="Y22" s="10">
        <f>AC22-V22</f>
        <v>4.1666666666666685E-2</v>
      </c>
      <c r="Z22" s="16"/>
      <c r="AA22" s="16"/>
      <c r="AB22" s="19" t="s">
        <v>45</v>
      </c>
      <c r="AC22" s="20">
        <f>V22+TIME(1,0,0)</f>
        <v>0.52777777777777779</v>
      </c>
      <c r="AD22" s="20">
        <f>AG22-TIME(0,5,0)</f>
        <v>0.59722222222222221</v>
      </c>
      <c r="AE22" s="25">
        <f>MOD(AD22-AC22,1)</f>
        <v>6.944444444444442E-2</v>
      </c>
      <c r="AF22" s="16"/>
      <c r="AG22" s="10">
        <v>0.60069444444444442</v>
      </c>
      <c r="AH22" s="9" t="s">
        <v>19</v>
      </c>
      <c r="AI22" s="14">
        <v>93.13</v>
      </c>
      <c r="AJ22" s="10">
        <f>G22+O22+W22</f>
        <v>0.16513888888888867</v>
      </c>
      <c r="AK22" s="15">
        <f t="shared" si="13"/>
        <v>0.33333333333333331</v>
      </c>
      <c r="AL22" s="10">
        <f t="shared" si="14"/>
        <v>8.4166666666666889E-2</v>
      </c>
      <c r="AM22" s="15">
        <f>AE22</f>
        <v>6.944444444444442E-2</v>
      </c>
      <c r="AN22" s="16" t="s">
        <v>54</v>
      </c>
      <c r="AP22" s="17"/>
      <c r="AQ22" s="17"/>
      <c r="AR22" s="17"/>
      <c r="AS22" s="17"/>
      <c r="AT22" s="18"/>
    </row>
    <row r="23" spans="1:46" s="8" customFormat="1" ht="21.75" customHeight="1" x14ac:dyDescent="0.25">
      <c r="A23" s="9">
        <v>19</v>
      </c>
      <c r="B23" s="10">
        <v>0.27083333333333331</v>
      </c>
      <c r="C23" s="16" t="s">
        <v>32</v>
      </c>
      <c r="D23" s="16">
        <v>206</v>
      </c>
      <c r="E23" s="25">
        <v>0.28125</v>
      </c>
      <c r="F23" s="15">
        <v>0.35291666666666643</v>
      </c>
      <c r="G23" s="15">
        <f t="shared" si="8"/>
        <v>7.1666666666666434E-2</v>
      </c>
      <c r="H23" s="16"/>
      <c r="I23" s="10">
        <f t="shared" si="9"/>
        <v>2.0833333333333481E-2</v>
      </c>
      <c r="J23" s="16"/>
      <c r="K23" s="16"/>
      <c r="L23" s="16">
        <v>204</v>
      </c>
      <c r="M23" s="15">
        <v>0.37374999999999992</v>
      </c>
      <c r="N23" s="15">
        <v>0.46402777777778431</v>
      </c>
      <c r="O23" s="15">
        <f t="shared" si="10"/>
        <v>9.0277777777784396E-2</v>
      </c>
      <c r="P23" s="16"/>
      <c r="Q23" s="10">
        <f t="shared" si="11"/>
        <v>2.7777777777771295E-2</v>
      </c>
      <c r="R23" s="16"/>
      <c r="S23" s="16"/>
      <c r="T23" s="16">
        <v>221</v>
      </c>
      <c r="U23" s="15">
        <v>0.49180555555555561</v>
      </c>
      <c r="V23" s="15">
        <v>0.58416666666666595</v>
      </c>
      <c r="W23" s="15">
        <f t="shared" si="12"/>
        <v>9.2361111111110339E-2</v>
      </c>
      <c r="X23" s="16"/>
      <c r="Y23" s="10"/>
      <c r="Z23" s="19"/>
      <c r="AA23" s="16"/>
      <c r="AB23" s="16"/>
      <c r="AC23" s="16"/>
      <c r="AD23" s="16"/>
      <c r="AE23" s="16"/>
      <c r="AF23" s="16"/>
      <c r="AG23" s="10">
        <v>0.59027777777777779</v>
      </c>
      <c r="AH23" s="9" t="s">
        <v>19</v>
      </c>
      <c r="AI23" s="14">
        <v>189.3</v>
      </c>
      <c r="AJ23" s="10">
        <f>G23+O23+W23+AE23</f>
        <v>0.25430555555556117</v>
      </c>
      <c r="AK23" s="15">
        <f t="shared" si="13"/>
        <v>0.31944444444444448</v>
      </c>
      <c r="AL23" s="10">
        <f t="shared" si="14"/>
        <v>4.8611111111104777E-2</v>
      </c>
      <c r="AM23" s="15"/>
      <c r="AN23" s="31" t="s">
        <v>55</v>
      </c>
      <c r="AP23" s="17"/>
      <c r="AQ23" s="17"/>
      <c r="AR23" s="17"/>
      <c r="AS23" s="17"/>
      <c r="AT23" s="18"/>
    </row>
    <row r="24" spans="1:46" s="8" customFormat="1" ht="21.75" customHeight="1" x14ac:dyDescent="0.25">
      <c r="A24" s="9">
        <v>20</v>
      </c>
      <c r="B24" s="10">
        <v>0.27430555555555552</v>
      </c>
      <c r="C24" s="16" t="s">
        <v>39</v>
      </c>
      <c r="D24" s="27">
        <v>220</v>
      </c>
      <c r="E24" s="15">
        <v>0.28472222222222221</v>
      </c>
      <c r="F24" s="15">
        <v>0.38416666666666627</v>
      </c>
      <c r="G24" s="15">
        <f t="shared" si="8"/>
        <v>9.9444444444444058E-2</v>
      </c>
      <c r="H24" s="16"/>
      <c r="I24" s="10">
        <f t="shared" si="9"/>
        <v>2.0833333333333592E-2</v>
      </c>
      <c r="J24" s="19"/>
      <c r="K24" s="16"/>
      <c r="L24" s="27">
        <v>212</v>
      </c>
      <c r="M24" s="15">
        <v>0.40499999999999986</v>
      </c>
      <c r="N24" s="15">
        <v>0.47444444444444406</v>
      </c>
      <c r="O24" s="15">
        <f t="shared" si="10"/>
        <v>6.9444444444444198E-2</v>
      </c>
      <c r="P24" s="16"/>
      <c r="Q24" s="10">
        <f t="shared" si="11"/>
        <v>2.8472222222222621E-2</v>
      </c>
      <c r="R24" s="19"/>
      <c r="S24" s="16"/>
      <c r="T24" s="16">
        <v>214</v>
      </c>
      <c r="U24" s="15">
        <v>0.50291666666666668</v>
      </c>
      <c r="V24" s="15">
        <v>0.59527777777777691</v>
      </c>
      <c r="W24" s="15">
        <f t="shared" si="12"/>
        <v>9.2361111111110228E-2</v>
      </c>
      <c r="X24" s="16"/>
      <c r="Y24" s="10"/>
      <c r="Z24" s="16"/>
      <c r="AA24" s="16"/>
      <c r="AB24" s="19"/>
      <c r="AC24" s="20"/>
      <c r="AD24" s="20"/>
      <c r="AE24" s="25"/>
      <c r="AF24" s="16"/>
      <c r="AG24" s="10">
        <f>B24+TIME(8,0,0)</f>
        <v>0.60763888888888884</v>
      </c>
      <c r="AH24" s="9" t="s">
        <v>19</v>
      </c>
      <c r="AI24" s="14">
        <v>156.80000000000001</v>
      </c>
      <c r="AJ24" s="10">
        <f>G24+O24+W24+AE24</f>
        <v>0.26124999999999848</v>
      </c>
      <c r="AK24" s="15">
        <f t="shared" si="13"/>
        <v>0.33333333333333331</v>
      </c>
      <c r="AL24" s="10">
        <f t="shared" si="14"/>
        <v>4.9305555555556213E-2</v>
      </c>
      <c r="AM24" s="15"/>
      <c r="AN24" s="32" t="s">
        <v>56</v>
      </c>
      <c r="AP24" s="17"/>
      <c r="AQ24" s="17"/>
      <c r="AR24" s="17"/>
      <c r="AS24" s="17"/>
      <c r="AT24" s="18"/>
    </row>
    <row r="25" spans="1:46" s="8" customFormat="1" ht="21.75" customHeight="1" x14ac:dyDescent="0.25">
      <c r="A25" s="34">
        <v>21</v>
      </c>
      <c r="B25" s="10">
        <v>0.27430555555555552</v>
      </c>
      <c r="C25" s="16" t="s">
        <v>51</v>
      </c>
      <c r="D25" s="16">
        <v>208</v>
      </c>
      <c r="E25" s="15">
        <v>0.28680555555555554</v>
      </c>
      <c r="F25" s="25">
        <v>0.33819444444444413</v>
      </c>
      <c r="G25" s="15">
        <f t="shared" si="8"/>
        <v>5.1388888888888595E-2</v>
      </c>
      <c r="H25" s="16"/>
      <c r="I25" s="10">
        <f t="shared" si="9"/>
        <v>1.8194444444444458E-2</v>
      </c>
      <c r="J25" s="16"/>
      <c r="K25" s="16"/>
      <c r="L25" s="27">
        <v>215</v>
      </c>
      <c r="M25" s="15">
        <v>0.35638888888888859</v>
      </c>
      <c r="N25" s="15">
        <v>0.42583333333333312</v>
      </c>
      <c r="O25" s="15">
        <f t="shared" si="10"/>
        <v>6.9444444444444531E-2</v>
      </c>
      <c r="P25" s="16"/>
      <c r="Q25" s="10">
        <f t="shared" si="11"/>
        <v>2.7777777777777679E-2</v>
      </c>
      <c r="R25" s="16"/>
      <c r="S25" s="16"/>
      <c r="T25" s="16">
        <v>220</v>
      </c>
      <c r="U25" s="15">
        <v>0.4536111111111108</v>
      </c>
      <c r="V25" s="15">
        <v>0.54527777777777786</v>
      </c>
      <c r="W25" s="15">
        <f t="shared" si="12"/>
        <v>9.1666666666667063E-2</v>
      </c>
      <c r="X25" s="19"/>
      <c r="Y25" s="10">
        <f>AC25-V25</f>
        <v>1.388888888888884E-2</v>
      </c>
      <c r="Z25" s="16"/>
      <c r="AA25" s="13"/>
      <c r="AB25" s="19" t="s">
        <v>45</v>
      </c>
      <c r="AC25" s="20">
        <f>V25+TIME(0,20,0)</f>
        <v>0.5591666666666667</v>
      </c>
      <c r="AD25" s="20">
        <f>AG25-TIME(0,5,0)</f>
        <v>0.60416666666666663</v>
      </c>
      <c r="AE25" s="25">
        <f>MOD(AD25-AC25,1)</f>
        <v>4.4999999999999929E-2</v>
      </c>
      <c r="AF25" s="16"/>
      <c r="AG25" s="10">
        <f>B25+TIME(8,0,0)</f>
        <v>0.60763888888888884</v>
      </c>
      <c r="AH25" s="9" t="s">
        <v>19</v>
      </c>
      <c r="AI25" s="14">
        <v>149.07999999999998</v>
      </c>
      <c r="AJ25" s="10">
        <f>G25+O25+W25</f>
        <v>0.21250000000000019</v>
      </c>
      <c r="AK25" s="15">
        <f t="shared" si="13"/>
        <v>0.33333333333333331</v>
      </c>
      <c r="AL25" s="10">
        <f t="shared" si="14"/>
        <v>5.9861111111110976E-2</v>
      </c>
      <c r="AM25" s="15">
        <f>AE25</f>
        <v>4.4999999999999929E-2</v>
      </c>
      <c r="AN25" s="16" t="s">
        <v>57</v>
      </c>
      <c r="AP25" s="17"/>
      <c r="AQ25" s="17"/>
      <c r="AR25" s="17"/>
      <c r="AS25" s="17"/>
      <c r="AT25" s="18"/>
    </row>
    <row r="26" spans="1:46" s="8" customFormat="1" ht="21.75" customHeight="1" x14ac:dyDescent="0.25">
      <c r="A26" s="9">
        <v>22</v>
      </c>
      <c r="B26" s="10">
        <v>0.28125</v>
      </c>
      <c r="C26" s="16" t="s">
        <v>33</v>
      </c>
      <c r="D26" s="16">
        <v>221</v>
      </c>
      <c r="E26" s="15">
        <v>0.29166666666666669</v>
      </c>
      <c r="F26" s="25">
        <v>0.33125000000000016</v>
      </c>
      <c r="G26" s="15">
        <f t="shared" si="8"/>
        <v>3.958333333333347E-2</v>
      </c>
      <c r="H26" s="16"/>
      <c r="I26" s="10">
        <f t="shared" si="9"/>
        <v>1.4722222222222137E-2</v>
      </c>
      <c r="J26" s="16"/>
      <c r="K26" s="16"/>
      <c r="L26" s="16">
        <v>201</v>
      </c>
      <c r="M26" s="15">
        <v>0.34597222222222229</v>
      </c>
      <c r="N26" s="15">
        <v>0.4362500000000023</v>
      </c>
      <c r="O26" s="15">
        <f t="shared" si="10"/>
        <v>9.0277777777780011E-2</v>
      </c>
      <c r="P26" s="16"/>
      <c r="Q26" s="10">
        <f t="shared" si="11"/>
        <v>2.7777777777782009E-2</v>
      </c>
      <c r="R26" s="16"/>
      <c r="S26" s="16"/>
      <c r="T26" s="16">
        <v>204</v>
      </c>
      <c r="U26" s="15">
        <v>0.46402777777778431</v>
      </c>
      <c r="V26" s="15">
        <v>0.55638888888888893</v>
      </c>
      <c r="W26" s="15">
        <f t="shared" si="12"/>
        <v>9.2361111111104621E-2</v>
      </c>
      <c r="X26" s="16"/>
      <c r="Y26" s="10">
        <f>AC26-V26</f>
        <v>1.388888888888884E-2</v>
      </c>
      <c r="Z26" s="19"/>
      <c r="AA26" s="16"/>
      <c r="AB26" s="19" t="s">
        <v>45</v>
      </c>
      <c r="AC26" s="20">
        <f>V26+TIME(0,20,0)</f>
        <v>0.57027777777777777</v>
      </c>
      <c r="AD26" s="20">
        <f>AG26-TIME(0,5,0)</f>
        <v>0.61111111111111105</v>
      </c>
      <c r="AE26" s="25">
        <f>MOD(AD26-AC26,1)</f>
        <v>4.0833333333333277E-2</v>
      </c>
      <c r="AF26" s="16"/>
      <c r="AG26" s="10">
        <f>B26+TIME(8,0,0)</f>
        <v>0.61458333333333326</v>
      </c>
      <c r="AH26" s="9" t="s">
        <v>19</v>
      </c>
      <c r="AI26" s="14">
        <v>144.93</v>
      </c>
      <c r="AJ26" s="10">
        <f>G26+O26+W26</f>
        <v>0.2222222222222181</v>
      </c>
      <c r="AK26" s="15">
        <f t="shared" si="13"/>
        <v>0.33333333333333326</v>
      </c>
      <c r="AL26" s="10">
        <f t="shared" si="14"/>
        <v>5.6388888888892985E-2</v>
      </c>
      <c r="AM26" s="15">
        <f>AE26</f>
        <v>4.0833333333333277E-2</v>
      </c>
      <c r="AN26" s="16" t="s">
        <v>58</v>
      </c>
      <c r="AP26" s="17"/>
      <c r="AQ26" s="17"/>
      <c r="AR26" s="17"/>
      <c r="AS26" s="17"/>
      <c r="AT26" s="18"/>
    </row>
    <row r="27" spans="1:46" s="8" customFormat="1" ht="21.75" customHeight="1" x14ac:dyDescent="0.25">
      <c r="A27" s="29">
        <v>23</v>
      </c>
      <c r="B27" s="10">
        <v>0.28125</v>
      </c>
      <c r="C27" s="16" t="s">
        <v>39</v>
      </c>
      <c r="D27" s="27">
        <v>222</v>
      </c>
      <c r="E27" s="15">
        <v>0.28472222222222221</v>
      </c>
      <c r="F27" s="15">
        <v>0.39111111111111069</v>
      </c>
      <c r="G27" s="15">
        <f t="shared" si="8"/>
        <v>0.10638888888888848</v>
      </c>
      <c r="H27" s="16"/>
      <c r="I27" s="10">
        <f t="shared" si="9"/>
        <v>2.0833333333333592E-2</v>
      </c>
      <c r="J27" s="16"/>
      <c r="K27" s="16"/>
      <c r="L27" s="27">
        <v>213</v>
      </c>
      <c r="M27" s="15">
        <v>0.41194444444444428</v>
      </c>
      <c r="N27" s="15">
        <v>0.48208333333333336</v>
      </c>
      <c r="O27" s="15">
        <f t="shared" si="10"/>
        <v>7.0138888888889084E-2</v>
      </c>
      <c r="P27" s="16"/>
      <c r="Q27" s="10">
        <f t="shared" si="11"/>
        <v>3.0555555555555503E-2</v>
      </c>
      <c r="R27" s="16"/>
      <c r="S27" s="16"/>
      <c r="T27" s="16">
        <v>210</v>
      </c>
      <c r="U27" s="15">
        <v>0.51263888888888887</v>
      </c>
      <c r="V27" s="25">
        <v>0.53541666666666665</v>
      </c>
      <c r="W27" s="15">
        <f t="shared" si="12"/>
        <v>2.2777777777777786E-2</v>
      </c>
      <c r="X27" s="16" t="s">
        <v>32</v>
      </c>
      <c r="Y27" s="10">
        <f>AC27-V27</f>
        <v>1.388888888888884E-2</v>
      </c>
      <c r="Z27" s="16"/>
      <c r="AA27" s="16"/>
      <c r="AB27" s="19" t="s">
        <v>45</v>
      </c>
      <c r="AC27" s="20">
        <f>V27+TIME(0,20,0)</f>
        <v>0.54930555555555549</v>
      </c>
      <c r="AD27" s="20">
        <f>AG27-TIME(0,5,0)</f>
        <v>0.61111111111111105</v>
      </c>
      <c r="AE27" s="25">
        <f>MOD(AD27-AC27,1)</f>
        <v>6.1805555555555558E-2</v>
      </c>
      <c r="AF27" s="16"/>
      <c r="AG27" s="10">
        <f>B27+TIME(8,0,0)</f>
        <v>0.61458333333333326</v>
      </c>
      <c r="AH27" s="9" t="s">
        <v>19</v>
      </c>
      <c r="AI27" s="14">
        <v>102.42</v>
      </c>
      <c r="AJ27" s="10">
        <f>G27+O27+W27</f>
        <v>0.19930555555555535</v>
      </c>
      <c r="AK27" s="15">
        <f t="shared" si="13"/>
        <v>0.33333333333333326</v>
      </c>
      <c r="AL27" s="10">
        <f t="shared" si="14"/>
        <v>6.5277777777777934E-2</v>
      </c>
      <c r="AM27" s="15">
        <f>AE27</f>
        <v>6.1805555555555558E-2</v>
      </c>
      <c r="AN27" s="16" t="s">
        <v>59</v>
      </c>
      <c r="AP27" s="17"/>
      <c r="AQ27" s="17"/>
      <c r="AR27" s="17"/>
      <c r="AS27" s="17"/>
      <c r="AT27" s="18"/>
    </row>
    <row r="28" spans="1:46" s="8" customFormat="1" ht="21.75" customHeight="1" x14ac:dyDescent="0.25">
      <c r="A28" s="9"/>
      <c r="B28" s="10"/>
      <c r="C28" s="16"/>
      <c r="D28" s="27"/>
      <c r="E28" s="15"/>
      <c r="F28" s="15"/>
      <c r="G28" s="15"/>
      <c r="H28" s="16"/>
      <c r="I28" s="10"/>
      <c r="J28" s="16"/>
      <c r="K28" s="16"/>
      <c r="L28" s="27"/>
      <c r="M28" s="15"/>
      <c r="N28" s="15"/>
      <c r="O28" s="15"/>
      <c r="P28" s="16"/>
      <c r="Q28" s="10"/>
      <c r="R28" s="16"/>
      <c r="S28" s="16"/>
      <c r="T28" s="16"/>
      <c r="U28" s="15"/>
      <c r="V28" s="25"/>
      <c r="W28" s="15"/>
      <c r="X28" s="16"/>
      <c r="Y28" s="10"/>
      <c r="Z28" s="16"/>
      <c r="AA28" s="16"/>
      <c r="AB28" s="19"/>
      <c r="AC28" s="20"/>
      <c r="AD28" s="20"/>
      <c r="AE28" s="25"/>
      <c r="AF28" s="16"/>
      <c r="AG28" s="10"/>
      <c r="AH28" s="9"/>
      <c r="AI28" s="14"/>
      <c r="AJ28" s="10"/>
      <c r="AK28" s="15"/>
      <c r="AL28" s="10"/>
      <c r="AM28" s="15"/>
      <c r="AN28" s="16"/>
      <c r="AP28" s="17"/>
      <c r="AQ28" s="17"/>
      <c r="AR28" s="17"/>
      <c r="AS28" s="17"/>
      <c r="AT28" s="18"/>
    </row>
    <row r="29" spans="1:46" s="8" customFormat="1" ht="21.75" customHeight="1" x14ac:dyDescent="0.25">
      <c r="A29" s="9">
        <v>24</v>
      </c>
      <c r="B29" s="10">
        <v>0.29166666666666663</v>
      </c>
      <c r="C29" s="9" t="s">
        <v>19</v>
      </c>
      <c r="D29" s="16">
        <v>207</v>
      </c>
      <c r="E29" s="15">
        <v>0.30430555555555555</v>
      </c>
      <c r="F29" s="15">
        <v>0.3945833333333329</v>
      </c>
      <c r="G29" s="15">
        <f t="shared" ref="G29:G36" si="15">MOD(F29-E29,1)</f>
        <v>9.0277777777777346E-2</v>
      </c>
      <c r="H29" s="16"/>
      <c r="I29" s="10">
        <f t="shared" ref="I29:I36" si="16">M29-F29</f>
        <v>2.0833333333334036E-2</v>
      </c>
      <c r="J29" s="16"/>
      <c r="K29" s="16"/>
      <c r="L29" s="16">
        <v>209</v>
      </c>
      <c r="M29" s="15">
        <v>0.41541666666666693</v>
      </c>
      <c r="N29" s="15">
        <v>0.50847222222222221</v>
      </c>
      <c r="O29" s="15">
        <f t="shared" ref="O29:O36" si="17">MOD(N29-M29,1)</f>
        <v>9.305555555555528E-2</v>
      </c>
      <c r="P29" s="16"/>
      <c r="Q29" s="10">
        <f t="shared" ref="Q29:Q36" si="18">U29-N29</f>
        <v>2.5555555555555554E-2</v>
      </c>
      <c r="R29" s="16"/>
      <c r="S29" s="15" t="s">
        <v>32</v>
      </c>
      <c r="T29" s="16">
        <v>210</v>
      </c>
      <c r="U29" s="25">
        <v>0.53402777777777777</v>
      </c>
      <c r="V29" s="15">
        <v>0.60625000000000007</v>
      </c>
      <c r="W29" s="15">
        <f t="shared" ref="W29:W36" si="19">MOD(V29-U29,1)</f>
        <v>7.2222222222222299E-2</v>
      </c>
      <c r="X29" s="16"/>
      <c r="Y29" s="10"/>
      <c r="Z29" s="16"/>
      <c r="AA29" s="16"/>
      <c r="AB29" s="19"/>
      <c r="AC29" s="20"/>
      <c r="AD29" s="20"/>
      <c r="AE29" s="25"/>
      <c r="AF29" s="19"/>
      <c r="AG29" s="10">
        <f>B29+TIME(8,0,0)</f>
        <v>0.625</v>
      </c>
      <c r="AH29" s="9" t="s">
        <v>19</v>
      </c>
      <c r="AI29" s="14">
        <v>189.29999999999998</v>
      </c>
      <c r="AJ29" s="10">
        <f>G29+O29+W29+AE29</f>
        <v>0.25555555555555493</v>
      </c>
      <c r="AK29" s="15">
        <f t="shared" ref="AK29:AK36" si="20">MOD((AG29-B29),1)</f>
        <v>0.33333333333333337</v>
      </c>
      <c r="AL29" s="10">
        <f t="shared" ref="AL29:AL36" si="21">I29+Y29+Q29</f>
        <v>4.638888888888959E-2</v>
      </c>
      <c r="AM29" s="15"/>
      <c r="AN29" s="31" t="s">
        <v>60</v>
      </c>
      <c r="AP29" s="17"/>
      <c r="AQ29" s="17"/>
      <c r="AR29" s="17"/>
      <c r="AS29" s="17"/>
      <c r="AT29" s="18"/>
    </row>
    <row r="30" spans="1:46" s="8" customFormat="1" ht="21.75" customHeight="1" x14ac:dyDescent="0.25">
      <c r="A30" s="9">
        <v>25</v>
      </c>
      <c r="B30" s="10">
        <v>0.2951388888888889</v>
      </c>
      <c r="C30" s="16" t="s">
        <v>39</v>
      </c>
      <c r="D30" s="27">
        <v>223</v>
      </c>
      <c r="E30" s="15">
        <v>0.2986111111111111</v>
      </c>
      <c r="F30" s="15">
        <v>0.39805555555555511</v>
      </c>
      <c r="G30" s="15">
        <f t="shared" si="15"/>
        <v>9.9444444444444002E-2</v>
      </c>
      <c r="H30" s="16"/>
      <c r="I30" s="10">
        <f t="shared" si="16"/>
        <v>2.0833333333333592E-2</v>
      </c>
      <c r="J30" s="16"/>
      <c r="K30" s="16"/>
      <c r="L30" s="27">
        <v>214</v>
      </c>
      <c r="M30" s="15">
        <v>0.4188888888888887</v>
      </c>
      <c r="N30" s="15">
        <v>0.50291666666666668</v>
      </c>
      <c r="O30" s="15">
        <f t="shared" si="17"/>
        <v>8.4027777777777979E-2</v>
      </c>
      <c r="P30" s="16"/>
      <c r="Q30" s="10">
        <f t="shared" si="18"/>
        <v>2.5694444444444353E-2</v>
      </c>
      <c r="R30" s="16"/>
      <c r="S30" s="13"/>
      <c r="T30" s="16">
        <v>201</v>
      </c>
      <c r="U30" s="15">
        <v>0.52861111111111103</v>
      </c>
      <c r="V30" s="15">
        <v>0.62305555555555492</v>
      </c>
      <c r="W30" s="15">
        <f t="shared" si="19"/>
        <v>9.4444444444443887E-2</v>
      </c>
      <c r="X30" s="16"/>
      <c r="Y30" s="10"/>
      <c r="Z30" s="16"/>
      <c r="AA30" s="16"/>
      <c r="AB30" s="19"/>
      <c r="AC30" s="20"/>
      <c r="AD30" s="20"/>
      <c r="AE30" s="25"/>
      <c r="AF30" s="16"/>
      <c r="AG30" s="10">
        <f>B30+TIME(8,0,0)</f>
        <v>0.62847222222222221</v>
      </c>
      <c r="AH30" s="9" t="s">
        <v>19</v>
      </c>
      <c r="AI30" s="14">
        <v>169.57999999999998</v>
      </c>
      <c r="AJ30" s="10">
        <f>G30+O30+W30+AE30</f>
        <v>0.27791666666666587</v>
      </c>
      <c r="AK30" s="15">
        <f t="shared" si="20"/>
        <v>0.33333333333333331</v>
      </c>
      <c r="AL30" s="10">
        <f t="shared" si="21"/>
        <v>4.6527777777777946E-2</v>
      </c>
      <c r="AM30" s="15"/>
      <c r="AN30" s="32" t="s">
        <v>61</v>
      </c>
      <c r="AP30" s="17"/>
      <c r="AQ30" s="17"/>
      <c r="AR30" s="17"/>
      <c r="AS30" s="17"/>
      <c r="AT30" s="18"/>
    </row>
    <row r="31" spans="1:46" s="8" customFormat="1" ht="21.75" customHeight="1" x14ac:dyDescent="0.25">
      <c r="A31" s="34">
        <v>26</v>
      </c>
      <c r="B31" s="10">
        <v>0.2986111111111111</v>
      </c>
      <c r="C31" s="16" t="s">
        <v>32</v>
      </c>
      <c r="D31" s="16">
        <v>217</v>
      </c>
      <c r="E31" s="25">
        <v>0.30902777777777779</v>
      </c>
      <c r="F31" s="15">
        <v>0.38069444444444389</v>
      </c>
      <c r="G31" s="15">
        <f t="shared" si="15"/>
        <v>7.1666666666666101E-2</v>
      </c>
      <c r="H31" s="16"/>
      <c r="I31" s="10">
        <f t="shared" si="16"/>
        <v>2.0833333333334036E-2</v>
      </c>
      <c r="J31" s="16"/>
      <c r="K31" s="16"/>
      <c r="L31" s="16">
        <v>221</v>
      </c>
      <c r="M31" s="15">
        <v>0.40152777777777793</v>
      </c>
      <c r="N31" s="15">
        <v>0.49180555555555561</v>
      </c>
      <c r="O31" s="15">
        <f t="shared" si="17"/>
        <v>9.0277777777777679E-2</v>
      </c>
      <c r="P31" s="16"/>
      <c r="Q31" s="10">
        <f t="shared" si="18"/>
        <v>3.1111111111111089E-2</v>
      </c>
      <c r="R31" s="16"/>
      <c r="S31" s="16"/>
      <c r="T31" s="16">
        <v>211</v>
      </c>
      <c r="U31" s="15">
        <v>0.5229166666666667</v>
      </c>
      <c r="V31" s="25">
        <v>0.54652777777777783</v>
      </c>
      <c r="W31" s="15">
        <f t="shared" si="19"/>
        <v>2.3611111111111138E-2</v>
      </c>
      <c r="X31" s="16" t="s">
        <v>32</v>
      </c>
      <c r="Y31" s="10">
        <f>AC31-V31</f>
        <v>1.388888888888884E-2</v>
      </c>
      <c r="Z31" s="19"/>
      <c r="AA31" s="16"/>
      <c r="AB31" s="19" t="s">
        <v>45</v>
      </c>
      <c r="AC31" s="20">
        <f>V31+TIME(0,20,0)</f>
        <v>0.56041666666666667</v>
      </c>
      <c r="AD31" s="20">
        <f>AG31-TIME(0,5,0)</f>
        <v>0.62847222222222221</v>
      </c>
      <c r="AE31" s="25">
        <f>MOD(AD31-AC31,1)</f>
        <v>6.8055555555555536E-2</v>
      </c>
      <c r="AF31" s="16"/>
      <c r="AG31" s="10">
        <f>B31+TIME(8,0,0)</f>
        <v>0.63194444444444442</v>
      </c>
      <c r="AH31" s="9" t="s">
        <v>19</v>
      </c>
      <c r="AI31" s="14">
        <v>134.92000000000002</v>
      </c>
      <c r="AJ31" s="10">
        <f>G31+O31+W31</f>
        <v>0.18555555555555492</v>
      </c>
      <c r="AK31" s="15">
        <f t="shared" si="20"/>
        <v>0.33333333333333331</v>
      </c>
      <c r="AL31" s="10">
        <f t="shared" si="21"/>
        <v>6.5833333333333965E-2</v>
      </c>
      <c r="AM31" s="15">
        <f>AE31</f>
        <v>6.8055555555555536E-2</v>
      </c>
      <c r="AN31" s="16" t="s">
        <v>62</v>
      </c>
      <c r="AP31" s="17"/>
      <c r="AQ31" s="17"/>
      <c r="AR31" s="17"/>
      <c r="AS31" s="17"/>
      <c r="AT31" s="18"/>
    </row>
    <row r="32" spans="1:46" s="8" customFormat="1" ht="21.75" customHeight="1" x14ac:dyDescent="0.25">
      <c r="A32" s="9">
        <v>27</v>
      </c>
      <c r="B32" s="10">
        <v>0.31597222222222221</v>
      </c>
      <c r="C32" s="9" t="s">
        <v>19</v>
      </c>
      <c r="D32" s="16">
        <v>209</v>
      </c>
      <c r="E32" s="15">
        <v>0.32513888888888898</v>
      </c>
      <c r="F32" s="15">
        <v>0.41541666666666693</v>
      </c>
      <c r="G32" s="15">
        <f t="shared" si="15"/>
        <v>9.0277777777777957E-2</v>
      </c>
      <c r="H32" s="16"/>
      <c r="I32" s="10">
        <f t="shared" si="16"/>
        <v>2.7777777777781343E-2</v>
      </c>
      <c r="J32" s="16"/>
      <c r="K32" s="16"/>
      <c r="L32" s="16">
        <v>206</v>
      </c>
      <c r="M32" s="15">
        <v>0.44319444444444828</v>
      </c>
      <c r="N32" s="15">
        <v>0.5341666666666659</v>
      </c>
      <c r="O32" s="15">
        <f t="shared" si="17"/>
        <v>9.0972222222217625E-2</v>
      </c>
      <c r="P32" s="16"/>
      <c r="Q32" s="10">
        <f t="shared" si="18"/>
        <v>3.3194444444445192E-2</v>
      </c>
      <c r="R32" s="16"/>
      <c r="S32" s="16" t="s">
        <v>32</v>
      </c>
      <c r="T32" s="16">
        <v>220</v>
      </c>
      <c r="U32" s="25">
        <v>0.56736111111111109</v>
      </c>
      <c r="V32" s="15">
        <v>0.63972222222222186</v>
      </c>
      <c r="W32" s="15">
        <f t="shared" si="19"/>
        <v>7.2361111111110765E-2</v>
      </c>
      <c r="X32" s="16"/>
      <c r="Y32" s="10"/>
      <c r="Z32" s="16"/>
      <c r="AA32" s="16"/>
      <c r="AB32" s="19"/>
      <c r="AC32" s="20"/>
      <c r="AD32" s="20"/>
      <c r="AE32" s="25"/>
      <c r="AF32" s="16"/>
      <c r="AG32" s="10">
        <f>B32+TIME(8,0,0)</f>
        <v>0.64930555555555558</v>
      </c>
      <c r="AH32" s="9" t="s">
        <v>19</v>
      </c>
      <c r="AI32" s="14">
        <v>189.29999999999998</v>
      </c>
      <c r="AJ32" s="10">
        <f>G32+O32+W32+AE32</f>
        <v>0.25361111111110635</v>
      </c>
      <c r="AK32" s="15">
        <f t="shared" si="20"/>
        <v>0.33333333333333337</v>
      </c>
      <c r="AL32" s="10">
        <f t="shared" si="21"/>
        <v>6.0972222222226535E-2</v>
      </c>
      <c r="AM32" s="15"/>
      <c r="AN32" s="31" t="s">
        <v>63</v>
      </c>
      <c r="AP32" s="17"/>
      <c r="AQ32" s="17"/>
      <c r="AR32" s="17"/>
      <c r="AS32" s="17"/>
      <c r="AT32" s="18"/>
    </row>
    <row r="33" spans="1:52" s="8" customFormat="1" ht="21.75" customHeight="1" x14ac:dyDescent="0.25">
      <c r="A33" s="9">
        <v>28</v>
      </c>
      <c r="B33" s="10">
        <v>0.31944444444444442</v>
      </c>
      <c r="C33" s="15" t="s">
        <v>32</v>
      </c>
      <c r="D33" s="16">
        <v>221</v>
      </c>
      <c r="E33" s="25">
        <v>0.3298611111111111</v>
      </c>
      <c r="F33" s="15">
        <v>0.40152777777777793</v>
      </c>
      <c r="G33" s="15">
        <f t="shared" si="15"/>
        <v>7.1666666666666823E-2</v>
      </c>
      <c r="H33" s="11"/>
      <c r="I33" s="10">
        <f t="shared" si="16"/>
        <v>2.0833333333332982E-2</v>
      </c>
      <c r="J33" s="16"/>
      <c r="K33" s="16"/>
      <c r="L33" s="16">
        <v>210</v>
      </c>
      <c r="M33" s="15">
        <v>0.42236111111111091</v>
      </c>
      <c r="N33" s="15">
        <v>0.51263888888888887</v>
      </c>
      <c r="O33" s="15">
        <f t="shared" si="17"/>
        <v>9.0277777777777957E-2</v>
      </c>
      <c r="P33" s="16"/>
      <c r="Q33" s="10">
        <f t="shared" si="18"/>
        <v>2.6944444444444438E-2</v>
      </c>
      <c r="R33" s="16"/>
      <c r="S33" s="15" t="s">
        <v>32</v>
      </c>
      <c r="T33" s="16">
        <v>215</v>
      </c>
      <c r="U33" s="25">
        <v>0.5395833333333333</v>
      </c>
      <c r="V33" s="15">
        <v>0.6118055555555556</v>
      </c>
      <c r="W33" s="15">
        <f t="shared" si="19"/>
        <v>7.2222222222222299E-2</v>
      </c>
      <c r="X33" s="16"/>
      <c r="Y33" s="16"/>
      <c r="Z33" s="16"/>
      <c r="AA33" s="16"/>
      <c r="AB33" s="19"/>
      <c r="AC33" s="20"/>
      <c r="AD33" s="20"/>
      <c r="AE33" s="25"/>
      <c r="AF33" s="16"/>
      <c r="AG33" s="10">
        <v>0.61805555555555558</v>
      </c>
      <c r="AH33" s="9" t="s">
        <v>19</v>
      </c>
      <c r="AI33" s="14">
        <v>176.22</v>
      </c>
      <c r="AJ33" s="10">
        <f>G33+O33+W33+AE33</f>
        <v>0.23416666666666708</v>
      </c>
      <c r="AK33" s="15">
        <f t="shared" si="20"/>
        <v>0.29861111111111116</v>
      </c>
      <c r="AL33" s="10">
        <f t="shared" si="21"/>
        <v>4.7777777777777419E-2</v>
      </c>
      <c r="AM33" s="15"/>
      <c r="AN33" s="35" t="s">
        <v>64</v>
      </c>
      <c r="AP33" s="17"/>
      <c r="AQ33" s="17"/>
      <c r="AR33" s="17"/>
      <c r="AS33" s="17"/>
      <c r="AT33" s="18"/>
    </row>
    <row r="34" spans="1:52" s="8" customFormat="1" ht="21.75" customHeight="1" x14ac:dyDescent="0.25">
      <c r="A34" s="9">
        <v>29</v>
      </c>
      <c r="B34" s="10">
        <v>0.32291666666666663</v>
      </c>
      <c r="C34" s="9" t="s">
        <v>19</v>
      </c>
      <c r="D34" s="27">
        <v>212</v>
      </c>
      <c r="E34" s="15">
        <v>0.33555555555555533</v>
      </c>
      <c r="F34" s="15">
        <v>0.40499999999999986</v>
      </c>
      <c r="G34" s="15">
        <f t="shared" si="15"/>
        <v>6.9444444444444531E-2</v>
      </c>
      <c r="H34" s="16"/>
      <c r="I34" s="10">
        <f t="shared" si="16"/>
        <v>2.0833333333333259E-2</v>
      </c>
      <c r="J34" s="16"/>
      <c r="K34" s="16"/>
      <c r="L34" s="16">
        <v>215</v>
      </c>
      <c r="M34" s="15">
        <v>0.42583333333333312</v>
      </c>
      <c r="N34" s="15">
        <v>0.51749999999999996</v>
      </c>
      <c r="O34" s="15">
        <f t="shared" si="17"/>
        <v>9.1666666666666841E-2</v>
      </c>
      <c r="P34" s="16"/>
      <c r="Q34" s="10">
        <f t="shared" si="18"/>
        <v>2.7638888888888991E-2</v>
      </c>
      <c r="R34" s="16"/>
      <c r="S34" s="15" t="s">
        <v>32</v>
      </c>
      <c r="T34" s="16">
        <v>211</v>
      </c>
      <c r="U34" s="25">
        <v>0.54513888888888895</v>
      </c>
      <c r="V34" s="15">
        <v>0.61749999999999894</v>
      </c>
      <c r="W34" s="15">
        <f t="shared" si="19"/>
        <v>7.2361111111109988E-2</v>
      </c>
      <c r="X34" s="16"/>
      <c r="Y34" s="16"/>
      <c r="Z34" s="16"/>
      <c r="AA34" s="9"/>
      <c r="AB34" s="19"/>
      <c r="AC34" s="20"/>
      <c r="AD34" s="20"/>
      <c r="AE34" s="25"/>
      <c r="AF34" s="16"/>
      <c r="AG34" s="10">
        <v>0.62152777777777779</v>
      </c>
      <c r="AH34" s="9" t="s">
        <v>19</v>
      </c>
      <c r="AI34" s="14">
        <v>169.57999999999998</v>
      </c>
      <c r="AJ34" s="10">
        <f>G34+O34+W34+AE34</f>
        <v>0.23347222222222136</v>
      </c>
      <c r="AK34" s="15">
        <f t="shared" si="20"/>
        <v>0.29861111111111116</v>
      </c>
      <c r="AL34" s="10">
        <f t="shared" si="21"/>
        <v>4.847222222222225E-2</v>
      </c>
      <c r="AM34" s="15"/>
      <c r="AN34" s="36" t="s">
        <v>65</v>
      </c>
      <c r="AP34" s="17"/>
      <c r="AQ34" s="17"/>
      <c r="AR34" s="17"/>
      <c r="AS34" s="17"/>
      <c r="AT34" s="18"/>
    </row>
    <row r="35" spans="1:52" s="8" customFormat="1" ht="21.75" customHeight="1" x14ac:dyDescent="0.25">
      <c r="A35" s="9">
        <v>30</v>
      </c>
      <c r="B35" s="10">
        <v>0.3263888888888889</v>
      </c>
      <c r="C35" s="16" t="s">
        <v>32</v>
      </c>
      <c r="D35" s="16">
        <v>208</v>
      </c>
      <c r="E35" s="25">
        <v>0.33819444444444413</v>
      </c>
      <c r="F35" s="15">
        <v>0.4084722222222219</v>
      </c>
      <c r="G35" s="15">
        <f t="shared" si="15"/>
        <v>7.0277777777777772E-2</v>
      </c>
      <c r="H35" s="16"/>
      <c r="I35" s="10">
        <f t="shared" si="16"/>
        <v>2.0833333333333981E-2</v>
      </c>
      <c r="J35" s="19"/>
      <c r="K35" s="16"/>
      <c r="L35" s="16">
        <v>211</v>
      </c>
      <c r="M35" s="15">
        <v>0.42930555555555588</v>
      </c>
      <c r="N35" s="15">
        <v>0.5230555555555555</v>
      </c>
      <c r="O35" s="15">
        <f t="shared" si="17"/>
        <v>9.3749999999999611E-2</v>
      </c>
      <c r="P35" s="16"/>
      <c r="Q35" s="10">
        <f t="shared" si="18"/>
        <v>4.4444444444444398E-2</v>
      </c>
      <c r="R35" s="19"/>
      <c r="S35" s="16"/>
      <c r="T35" s="16">
        <v>212</v>
      </c>
      <c r="U35" s="15">
        <v>0.56749999999999989</v>
      </c>
      <c r="V35" s="15">
        <v>0.64858796296296295</v>
      </c>
      <c r="W35" s="15">
        <f t="shared" si="19"/>
        <v>8.1087962962963056E-2</v>
      </c>
      <c r="X35" s="16" t="s">
        <v>36</v>
      </c>
      <c r="Y35" s="16"/>
      <c r="Z35" s="16"/>
      <c r="AA35" s="16"/>
      <c r="AB35" s="19"/>
      <c r="AC35" s="20"/>
      <c r="AD35" s="20"/>
      <c r="AE35" s="25"/>
      <c r="AF35" s="16"/>
      <c r="AG35" s="10">
        <f>B35+TIME(8,0,0)</f>
        <v>0.65972222222222221</v>
      </c>
      <c r="AH35" s="9" t="s">
        <v>37</v>
      </c>
      <c r="AI35" s="14">
        <v>178.71</v>
      </c>
      <c r="AJ35" s="10">
        <f>G35+O35+W35+AE35</f>
        <v>0.24511574074074044</v>
      </c>
      <c r="AK35" s="15">
        <f t="shared" si="20"/>
        <v>0.33333333333333331</v>
      </c>
      <c r="AL35" s="10">
        <f t="shared" si="21"/>
        <v>6.5277777777778379E-2</v>
      </c>
      <c r="AM35" s="15"/>
      <c r="AN35" s="35" t="s">
        <v>66</v>
      </c>
      <c r="AP35" s="17"/>
      <c r="AQ35" s="17"/>
      <c r="AR35" s="17"/>
      <c r="AS35" s="17"/>
      <c r="AT35" s="18"/>
    </row>
    <row r="36" spans="1:52" s="8" customFormat="1" ht="21.75" customHeight="1" x14ac:dyDescent="0.25">
      <c r="A36" s="9">
        <v>31</v>
      </c>
      <c r="B36" s="10">
        <v>0.3263888888888889</v>
      </c>
      <c r="C36" s="9" t="s">
        <v>19</v>
      </c>
      <c r="D36" s="16">
        <v>211</v>
      </c>
      <c r="E36" s="15">
        <v>0.33902777777777782</v>
      </c>
      <c r="F36" s="15">
        <v>0.42930555555555588</v>
      </c>
      <c r="G36" s="15">
        <f t="shared" si="15"/>
        <v>9.0277777777778068E-2</v>
      </c>
      <c r="H36" s="16"/>
      <c r="I36" s="10">
        <f t="shared" si="16"/>
        <v>2.7777777777782398E-2</v>
      </c>
      <c r="J36" s="16"/>
      <c r="K36" s="16"/>
      <c r="L36" s="16">
        <v>203</v>
      </c>
      <c r="M36" s="15">
        <v>0.45708333333333828</v>
      </c>
      <c r="N36" s="15">
        <v>0.55083333333333295</v>
      </c>
      <c r="O36" s="15">
        <f t="shared" si="17"/>
        <v>9.3749999999994671E-2</v>
      </c>
      <c r="P36" s="16"/>
      <c r="Q36" s="10">
        <f t="shared" si="18"/>
        <v>2.2083333333333677E-2</v>
      </c>
      <c r="R36" s="16"/>
      <c r="S36" s="16" t="s">
        <v>32</v>
      </c>
      <c r="T36" s="16">
        <v>203</v>
      </c>
      <c r="U36" s="25">
        <v>0.57291666666666663</v>
      </c>
      <c r="V36" s="15">
        <v>0.64527777777777695</v>
      </c>
      <c r="W36" s="15">
        <f t="shared" si="19"/>
        <v>7.2361111111110321E-2</v>
      </c>
      <c r="X36" s="16"/>
      <c r="Y36" s="16"/>
      <c r="Z36" s="16"/>
      <c r="AA36" s="9"/>
      <c r="AB36" s="19"/>
      <c r="AC36" s="20"/>
      <c r="AD36" s="20"/>
      <c r="AE36" s="25"/>
      <c r="AF36" s="16"/>
      <c r="AG36" s="10">
        <f>B36+TIME(8,0,0)</f>
        <v>0.65972222222222221</v>
      </c>
      <c r="AH36" s="9" t="s">
        <v>19</v>
      </c>
      <c r="AI36" s="14">
        <v>189.29999999999998</v>
      </c>
      <c r="AJ36" s="10">
        <f>G36+O36+W36+AE36</f>
        <v>0.25638888888888306</v>
      </c>
      <c r="AK36" s="15">
        <f t="shared" si="20"/>
        <v>0.33333333333333331</v>
      </c>
      <c r="AL36" s="10">
        <f t="shared" si="21"/>
        <v>4.9861111111116074E-2</v>
      </c>
      <c r="AM36" s="15"/>
      <c r="AN36" s="26" t="s">
        <v>67</v>
      </c>
      <c r="AP36" s="17"/>
      <c r="AQ36" s="17"/>
      <c r="AR36" s="17"/>
      <c r="AS36" s="17"/>
      <c r="AT36" s="18"/>
    </row>
    <row r="37" spans="1:52" s="8" customFormat="1" ht="21.75" customHeight="1" x14ac:dyDescent="0.25">
      <c r="A37" s="9"/>
      <c r="B37" s="10"/>
      <c r="C37" s="9"/>
      <c r="D37" s="16"/>
      <c r="E37" s="15"/>
      <c r="F37" s="15"/>
      <c r="G37" s="15"/>
      <c r="H37" s="16"/>
      <c r="I37" s="10"/>
      <c r="J37" s="16"/>
      <c r="K37" s="16"/>
      <c r="L37" s="16"/>
      <c r="M37" s="15"/>
      <c r="N37" s="15"/>
      <c r="O37" s="15"/>
      <c r="P37" s="16"/>
      <c r="Q37" s="10"/>
      <c r="R37" s="16"/>
      <c r="S37" s="16"/>
      <c r="T37" s="16"/>
      <c r="U37" s="25"/>
      <c r="V37" s="15"/>
      <c r="W37" s="15"/>
      <c r="X37" s="16"/>
      <c r="Y37" s="16"/>
      <c r="Z37" s="16"/>
      <c r="AA37" s="9"/>
      <c r="AB37" s="19"/>
      <c r="AC37" s="20"/>
      <c r="AD37" s="20"/>
      <c r="AE37" s="25"/>
      <c r="AF37" s="16"/>
      <c r="AG37" s="10"/>
      <c r="AH37" s="9"/>
      <c r="AI37" s="14"/>
      <c r="AJ37" s="10"/>
      <c r="AK37" s="15"/>
      <c r="AL37" s="10"/>
      <c r="AM37" s="15"/>
      <c r="AN37" s="16"/>
      <c r="AP37" s="17"/>
      <c r="AQ37" s="17"/>
      <c r="AR37" s="17"/>
      <c r="AS37" s="17"/>
      <c r="AT37" s="18"/>
    </row>
    <row r="38" spans="1:52" s="8" customFormat="1" ht="21.75" customHeight="1" x14ac:dyDescent="0.25">
      <c r="A38" s="29">
        <v>32</v>
      </c>
      <c r="B38" s="10">
        <v>0.52777777777777779</v>
      </c>
      <c r="C38" s="9" t="s">
        <v>19</v>
      </c>
      <c r="D38" s="16">
        <v>219</v>
      </c>
      <c r="E38" s="15">
        <v>0.53972222222222188</v>
      </c>
      <c r="F38" s="15">
        <v>0.63402777777777775</v>
      </c>
      <c r="G38" s="15">
        <f t="shared" ref="G38:G45" si="22">MOD(F38-E38,1)</f>
        <v>9.4305555555555864E-2</v>
      </c>
      <c r="H38" s="16"/>
      <c r="I38" s="10">
        <f t="shared" ref="I38:I45" si="23">M38-F38</f>
        <v>2.2361111111111165E-2</v>
      </c>
      <c r="J38" s="16"/>
      <c r="K38" s="16"/>
      <c r="L38" s="27">
        <v>217</v>
      </c>
      <c r="M38" s="15">
        <v>0.65638888888888891</v>
      </c>
      <c r="N38" s="15">
        <v>0.73694444444444374</v>
      </c>
      <c r="O38" s="15">
        <f t="shared" ref="O38:O44" si="24">MOD(N38-M38,1)</f>
        <v>8.0555555555554825E-2</v>
      </c>
      <c r="P38" s="16"/>
      <c r="Q38" s="10">
        <f t="shared" ref="Q38:Q45" si="25">U38-N38</f>
        <v>2.1527777777777923E-2</v>
      </c>
      <c r="R38" s="16"/>
      <c r="S38" s="16"/>
      <c r="T38" s="27">
        <v>222</v>
      </c>
      <c r="U38" s="15">
        <v>0.75847222222222166</v>
      </c>
      <c r="V38" s="15">
        <v>0.85763888888888884</v>
      </c>
      <c r="W38" s="15">
        <f>MOD(V38-U38,1)</f>
        <v>9.916666666666718E-2</v>
      </c>
      <c r="X38" s="16" t="s">
        <v>30</v>
      </c>
      <c r="Y38" s="16"/>
      <c r="Z38" s="16"/>
      <c r="AA38" s="16"/>
      <c r="AB38" s="16"/>
      <c r="AC38" s="16"/>
      <c r="AD38" s="16"/>
      <c r="AE38" s="16"/>
      <c r="AF38" s="16"/>
      <c r="AG38" s="10">
        <v>0.86111111111111105</v>
      </c>
      <c r="AH38" s="9" t="s">
        <v>68</v>
      </c>
      <c r="AI38" s="14">
        <v>169.88</v>
      </c>
      <c r="AJ38" s="10">
        <f>G38+O38+W38+AE38</f>
        <v>0.27402777777777787</v>
      </c>
      <c r="AK38" s="15">
        <f t="shared" ref="AK38:AK45" si="26">MOD((AG38-B38),1)</f>
        <v>0.33333333333333326</v>
      </c>
      <c r="AL38" s="10">
        <f t="shared" ref="AL38:AL45" si="27">I38+Y38+Q38</f>
        <v>4.3888888888889088E-2</v>
      </c>
      <c r="AM38" s="15"/>
      <c r="AN38" s="28" t="s">
        <v>69</v>
      </c>
      <c r="AP38" s="17"/>
      <c r="AQ38" s="17"/>
      <c r="AR38" s="17"/>
      <c r="AS38" s="17"/>
      <c r="AT38" s="18"/>
    </row>
    <row r="39" spans="1:52" s="8" customFormat="1" ht="21.75" customHeight="1" x14ac:dyDescent="0.25">
      <c r="A39" s="9">
        <v>33</v>
      </c>
      <c r="B39" s="10">
        <v>0.54513888888888884</v>
      </c>
      <c r="C39" s="15" t="s">
        <v>32</v>
      </c>
      <c r="D39" s="16">
        <v>206</v>
      </c>
      <c r="E39" s="37">
        <v>0.55763888888888891</v>
      </c>
      <c r="F39" s="15">
        <v>0.62847222222222221</v>
      </c>
      <c r="G39" s="15">
        <f t="shared" si="22"/>
        <v>7.0833333333333304E-2</v>
      </c>
      <c r="H39" s="16"/>
      <c r="I39" s="10">
        <f t="shared" si="23"/>
        <v>2.2361111111110721E-2</v>
      </c>
      <c r="J39" s="16"/>
      <c r="K39" s="16"/>
      <c r="L39" s="16">
        <v>204</v>
      </c>
      <c r="M39" s="15">
        <v>0.65083333333333293</v>
      </c>
      <c r="N39" s="15">
        <v>0.74805555555555514</v>
      </c>
      <c r="O39" s="15">
        <f t="shared" si="24"/>
        <v>9.722222222222221E-2</v>
      </c>
      <c r="P39" s="16"/>
      <c r="Q39" s="10">
        <f t="shared" si="25"/>
        <v>2.0833333333332815E-2</v>
      </c>
      <c r="R39" s="16"/>
      <c r="S39" s="16"/>
      <c r="T39" s="16">
        <v>221</v>
      </c>
      <c r="U39" s="15">
        <v>0.76888888888888796</v>
      </c>
      <c r="V39" s="15">
        <v>0.85916666666666552</v>
      </c>
      <c r="W39" s="15">
        <f>MOD(V39-U39,1)</f>
        <v>9.0277777777777568E-2</v>
      </c>
      <c r="X39" s="16"/>
      <c r="Y39" s="16"/>
      <c r="Z39" s="16"/>
      <c r="AA39" s="16"/>
      <c r="AB39" s="16"/>
      <c r="AC39" s="16"/>
      <c r="AD39" s="16"/>
      <c r="AE39" s="16"/>
      <c r="AF39" s="16"/>
      <c r="AG39" s="10">
        <v>0.86458333333333337</v>
      </c>
      <c r="AH39" s="9" t="s">
        <v>19</v>
      </c>
      <c r="AI39" s="14">
        <v>189.3</v>
      </c>
      <c r="AJ39" s="10">
        <f>G39+O39+W39+AE39</f>
        <v>0.25833333333333308</v>
      </c>
      <c r="AK39" s="15">
        <f t="shared" si="26"/>
        <v>0.31944444444444453</v>
      </c>
      <c r="AL39" s="10">
        <f t="shared" si="27"/>
        <v>4.3194444444443536E-2</v>
      </c>
      <c r="AM39" s="15"/>
      <c r="AN39" s="31" t="s">
        <v>70</v>
      </c>
      <c r="AP39" s="17"/>
      <c r="AQ39" s="17"/>
      <c r="AR39" s="17"/>
      <c r="AS39" s="17"/>
      <c r="AT39" s="18"/>
      <c r="AW39" s="22"/>
      <c r="AX39" s="22"/>
      <c r="AY39" s="22"/>
      <c r="AZ39" s="22"/>
    </row>
    <row r="40" spans="1:52" s="8" customFormat="1" ht="21.75" customHeight="1" x14ac:dyDescent="0.25">
      <c r="A40" s="9">
        <v>34</v>
      </c>
      <c r="B40" s="10">
        <v>0.54513888888888884</v>
      </c>
      <c r="C40" s="9" t="s">
        <v>19</v>
      </c>
      <c r="D40" s="19" t="s">
        <v>45</v>
      </c>
      <c r="E40" s="15">
        <f>B40+TIME(0,5,0)</f>
        <v>0.54861111111111105</v>
      </c>
      <c r="F40" s="15">
        <f>M40-TIME(0,25,0)</f>
        <v>0.65013888888888871</v>
      </c>
      <c r="G40" s="25">
        <f t="shared" si="22"/>
        <v>0.10152777777777766</v>
      </c>
      <c r="H40" s="16"/>
      <c r="I40" s="10">
        <f t="shared" si="23"/>
        <v>1.736111111111116E-2</v>
      </c>
      <c r="J40" s="16"/>
      <c r="K40" s="16"/>
      <c r="L40" s="16">
        <v>213</v>
      </c>
      <c r="M40" s="15">
        <v>0.66749999999999987</v>
      </c>
      <c r="N40" s="15">
        <v>0.7445833333333326</v>
      </c>
      <c r="O40" s="15">
        <f t="shared" si="24"/>
        <v>7.7083333333332726E-2</v>
      </c>
      <c r="P40" s="16"/>
      <c r="Q40" s="10">
        <f t="shared" si="25"/>
        <v>2.0833333333333259E-2</v>
      </c>
      <c r="R40" s="16"/>
      <c r="S40" s="16"/>
      <c r="T40" s="27">
        <v>214</v>
      </c>
      <c r="U40" s="15">
        <v>0.76541666666666586</v>
      </c>
      <c r="V40" s="15">
        <v>0.875</v>
      </c>
      <c r="W40" s="15">
        <v>0.10958333333333414</v>
      </c>
      <c r="X40" s="16" t="s">
        <v>30</v>
      </c>
      <c r="Y40" s="16"/>
      <c r="Z40" s="16"/>
      <c r="AA40" s="16"/>
      <c r="AB40" s="16"/>
      <c r="AC40" s="16"/>
      <c r="AD40" s="16"/>
      <c r="AE40" s="16"/>
      <c r="AF40" s="16"/>
      <c r="AG40" s="10">
        <v>0.87847222222222221</v>
      </c>
      <c r="AH40" s="9" t="s">
        <v>68</v>
      </c>
      <c r="AI40" s="14">
        <v>102.42</v>
      </c>
      <c r="AJ40" s="10">
        <f>O40+W40+AE40</f>
        <v>0.18666666666666687</v>
      </c>
      <c r="AK40" s="15">
        <f t="shared" si="26"/>
        <v>0.33333333333333337</v>
      </c>
      <c r="AL40" s="10">
        <f t="shared" si="27"/>
        <v>3.819444444444442E-2</v>
      </c>
      <c r="AM40" s="15">
        <f>G40</f>
        <v>0.10152777777777766</v>
      </c>
      <c r="AN40" s="16" t="s">
        <v>71</v>
      </c>
      <c r="AP40" s="17"/>
      <c r="AQ40" s="17"/>
      <c r="AR40" s="17"/>
      <c r="AS40" s="17"/>
      <c r="AT40" s="18"/>
    </row>
    <row r="41" spans="1:52" s="8" customFormat="1" ht="21.75" customHeight="1" x14ac:dyDescent="0.25">
      <c r="A41" s="9">
        <v>35</v>
      </c>
      <c r="B41" s="10">
        <v>0.5625</v>
      </c>
      <c r="C41" s="9" t="s">
        <v>19</v>
      </c>
      <c r="D41" s="16">
        <v>213</v>
      </c>
      <c r="E41" s="15">
        <v>0.57305555555555487</v>
      </c>
      <c r="F41" s="15">
        <v>0.66749999999999987</v>
      </c>
      <c r="G41" s="15">
        <f t="shared" si="22"/>
        <v>9.4444444444444997E-2</v>
      </c>
      <c r="H41" s="16"/>
      <c r="I41" s="10">
        <f t="shared" si="23"/>
        <v>2.2222222222222032E-2</v>
      </c>
      <c r="J41" s="16"/>
      <c r="K41" s="16"/>
      <c r="L41" s="27">
        <v>214</v>
      </c>
      <c r="M41" s="15">
        <v>0.6897222222222219</v>
      </c>
      <c r="N41" s="15">
        <v>0.76541666666666586</v>
      </c>
      <c r="O41" s="15">
        <f t="shared" si="24"/>
        <v>7.5694444444443953E-2</v>
      </c>
      <c r="P41" s="16"/>
      <c r="Q41" s="10">
        <f t="shared" si="25"/>
        <v>2.0833333333333481E-2</v>
      </c>
      <c r="R41" s="16"/>
      <c r="S41" s="16"/>
      <c r="T41" s="27">
        <v>218</v>
      </c>
      <c r="U41" s="15">
        <v>0.78624999999999934</v>
      </c>
      <c r="V41" s="15">
        <v>0.85569444444444343</v>
      </c>
      <c r="W41" s="15">
        <f>MOD(V41-U41,1)</f>
        <v>6.9444444444444087E-2</v>
      </c>
      <c r="X41" s="16"/>
      <c r="Y41" s="38"/>
      <c r="Z41" s="38"/>
      <c r="AA41" s="38"/>
      <c r="AB41" s="16"/>
      <c r="AC41" s="16"/>
      <c r="AD41" s="16"/>
      <c r="AE41" s="16"/>
      <c r="AF41" s="16"/>
      <c r="AG41" s="10">
        <v>0.86111111111111105</v>
      </c>
      <c r="AH41" s="9" t="s">
        <v>19</v>
      </c>
      <c r="AI41" s="14">
        <v>169.88</v>
      </c>
      <c r="AJ41" s="10">
        <f>G41+O41+W41+AE41</f>
        <v>0.23958333333333304</v>
      </c>
      <c r="AK41" s="15">
        <f t="shared" si="26"/>
        <v>0.29861111111111105</v>
      </c>
      <c r="AL41" s="10">
        <f t="shared" si="27"/>
        <v>4.3055555555555514E-2</v>
      </c>
      <c r="AM41" s="15"/>
      <c r="AN41" s="36" t="s">
        <v>72</v>
      </c>
      <c r="AP41" s="17"/>
      <c r="AQ41" s="17"/>
      <c r="AR41" s="17"/>
      <c r="AS41" s="17"/>
      <c r="AT41" s="18"/>
    </row>
    <row r="42" spans="1:52" s="8" customFormat="1" ht="21.75" customHeight="1" x14ac:dyDescent="0.25">
      <c r="A42" s="9">
        <v>36</v>
      </c>
      <c r="B42" s="10">
        <v>0.5625</v>
      </c>
      <c r="C42" s="16" t="s">
        <v>36</v>
      </c>
      <c r="D42" s="16">
        <v>208</v>
      </c>
      <c r="E42" s="15">
        <v>0.57630787037037035</v>
      </c>
      <c r="F42" s="15">
        <v>0.58972222222222193</v>
      </c>
      <c r="G42" s="15">
        <f t="shared" si="22"/>
        <v>1.341435185185158E-2</v>
      </c>
      <c r="H42" s="16"/>
      <c r="I42" s="10">
        <f t="shared" si="23"/>
        <v>4.4444444444444398E-2</v>
      </c>
      <c r="J42" s="16"/>
      <c r="K42" s="16"/>
      <c r="L42" s="16">
        <v>219</v>
      </c>
      <c r="M42" s="15">
        <v>0.63416666666666632</v>
      </c>
      <c r="N42" s="15">
        <v>0.72791666666666643</v>
      </c>
      <c r="O42" s="15">
        <f t="shared" si="24"/>
        <v>9.3750000000000111E-2</v>
      </c>
      <c r="P42" s="16"/>
      <c r="Q42" s="10">
        <f t="shared" si="25"/>
        <v>2.3611111111110583E-2</v>
      </c>
      <c r="R42" s="16"/>
      <c r="S42" s="16"/>
      <c r="T42" s="27">
        <v>223</v>
      </c>
      <c r="U42" s="15">
        <v>0.75152777777777702</v>
      </c>
      <c r="V42" s="15">
        <v>0.82097222222222133</v>
      </c>
      <c r="W42" s="15">
        <f>MOD(V42-U42,1)</f>
        <v>6.9444444444444309E-2</v>
      </c>
      <c r="X42" s="19"/>
      <c r="Y42" s="10">
        <f>AC42-V42</f>
        <v>3.4722222222222099E-2</v>
      </c>
      <c r="Z42" s="16"/>
      <c r="AA42" s="16"/>
      <c r="AB42" s="27">
        <v>218</v>
      </c>
      <c r="AC42" s="15">
        <v>0.85569444444444343</v>
      </c>
      <c r="AD42" s="15">
        <v>0.89236111111111116</v>
      </c>
      <c r="AE42" s="15">
        <f>MOD(AD42-AC42,1)</f>
        <v>3.6666666666667735E-2</v>
      </c>
      <c r="AF42" s="16" t="s">
        <v>30</v>
      </c>
      <c r="AG42" s="10">
        <v>0.89583333333333326</v>
      </c>
      <c r="AH42" s="9" t="s">
        <v>68</v>
      </c>
      <c r="AI42" s="14">
        <v>125.78999999999999</v>
      </c>
      <c r="AJ42" s="10">
        <f>G42+O42+W42+AE42</f>
        <v>0.21327546296296374</v>
      </c>
      <c r="AK42" s="15">
        <f t="shared" si="26"/>
        <v>0.33333333333333326</v>
      </c>
      <c r="AL42" s="10">
        <f t="shared" si="27"/>
        <v>0.10277777777777708</v>
      </c>
      <c r="AM42" s="15"/>
      <c r="AN42" s="9" t="s">
        <v>73</v>
      </c>
      <c r="AP42" s="17"/>
      <c r="AQ42" s="17"/>
      <c r="AR42" s="17"/>
      <c r="AS42" s="17"/>
      <c r="AT42" s="18"/>
    </row>
    <row r="43" spans="1:52" s="8" customFormat="1" ht="21.75" customHeight="1" x14ac:dyDescent="0.25">
      <c r="A43" s="34">
        <v>37</v>
      </c>
      <c r="B43" s="10">
        <v>0.5625</v>
      </c>
      <c r="C43" s="9" t="s">
        <v>19</v>
      </c>
      <c r="D43" s="19" t="s">
        <v>45</v>
      </c>
      <c r="E43" s="15">
        <f>B43+TIME(0,5,0)</f>
        <v>0.56597222222222221</v>
      </c>
      <c r="F43" s="15">
        <f>M43-TIME(0,25,0)</f>
        <v>0.62791666666666579</v>
      </c>
      <c r="G43" s="25">
        <f t="shared" si="22"/>
        <v>6.194444444444358E-2</v>
      </c>
      <c r="H43" s="16"/>
      <c r="I43" s="10">
        <f t="shared" si="23"/>
        <v>1.736111111111116E-2</v>
      </c>
      <c r="J43" s="16"/>
      <c r="K43" s="16"/>
      <c r="L43" s="16">
        <v>203</v>
      </c>
      <c r="M43" s="15">
        <v>0.64527777777777695</v>
      </c>
      <c r="N43" s="15">
        <v>0.74041666666666628</v>
      </c>
      <c r="O43" s="15">
        <f t="shared" si="24"/>
        <v>9.5138888888889328E-2</v>
      </c>
      <c r="P43" s="16"/>
      <c r="Q43" s="10">
        <f t="shared" si="25"/>
        <v>2.1527777777777146E-2</v>
      </c>
      <c r="R43" s="16"/>
      <c r="S43" s="16"/>
      <c r="T43" s="16">
        <v>207</v>
      </c>
      <c r="U43" s="15">
        <v>0.76194444444444343</v>
      </c>
      <c r="V43" s="15">
        <v>0.8522222222222211</v>
      </c>
      <c r="W43" s="15">
        <f>MOD(V43-U43,1)</f>
        <v>9.0277777777777679E-2</v>
      </c>
      <c r="X43" s="16"/>
      <c r="Y43" s="10">
        <f>AC43-V43</f>
        <v>2.7777777777777679E-2</v>
      </c>
      <c r="Z43" s="16"/>
      <c r="AA43" s="16"/>
      <c r="AB43" s="16">
        <v>210</v>
      </c>
      <c r="AC43" s="15">
        <v>0.87999999999999878</v>
      </c>
      <c r="AD43" s="25">
        <v>0.90000000000000324</v>
      </c>
      <c r="AE43" s="15">
        <f>MOD(AD43-AC43,1)</f>
        <v>2.0000000000004459E-2</v>
      </c>
      <c r="AF43" s="16" t="s">
        <v>32</v>
      </c>
      <c r="AG43" s="10">
        <v>0.90625</v>
      </c>
      <c r="AH43" s="9" t="s">
        <v>19</v>
      </c>
      <c r="AI43" s="14">
        <v>134.91999999999999</v>
      </c>
      <c r="AJ43" s="10">
        <f>O43+W43+AE43</f>
        <v>0.20541666666667147</v>
      </c>
      <c r="AK43" s="15">
        <f t="shared" si="26"/>
        <v>0.34375</v>
      </c>
      <c r="AL43" s="10">
        <f t="shared" si="27"/>
        <v>6.6666666666665986E-2</v>
      </c>
      <c r="AM43" s="15">
        <f>G43</f>
        <v>6.194444444444358E-2</v>
      </c>
      <c r="AN43" s="9" t="s">
        <v>74</v>
      </c>
      <c r="AP43" s="17"/>
      <c r="AQ43" s="17"/>
      <c r="AR43" s="17"/>
      <c r="AS43" s="17"/>
      <c r="AT43" s="18"/>
    </row>
    <row r="44" spans="1:52" s="8" customFormat="1" ht="21.75" customHeight="1" x14ac:dyDescent="0.25">
      <c r="A44" s="9">
        <v>38</v>
      </c>
      <c r="B44" s="10">
        <v>0.56597222222222221</v>
      </c>
      <c r="C44" s="15" t="s">
        <v>32</v>
      </c>
      <c r="D44" s="16">
        <v>204</v>
      </c>
      <c r="E44" s="25">
        <v>0.57847222222222217</v>
      </c>
      <c r="F44" s="15">
        <v>0.65069444444444446</v>
      </c>
      <c r="G44" s="15">
        <f t="shared" si="22"/>
        <v>7.2222222222222299E-2</v>
      </c>
      <c r="H44" s="16"/>
      <c r="I44" s="10">
        <f t="shared" si="23"/>
        <v>2.166666666666639E-2</v>
      </c>
      <c r="J44" s="16"/>
      <c r="K44" s="16"/>
      <c r="L44" s="16">
        <v>207</v>
      </c>
      <c r="M44" s="15">
        <v>0.67236111111111085</v>
      </c>
      <c r="N44" s="15">
        <v>0.76194444444444343</v>
      </c>
      <c r="O44" s="15">
        <f t="shared" si="24"/>
        <v>8.9583333333332571E-2</v>
      </c>
      <c r="P44" s="16"/>
      <c r="Q44" s="10">
        <f t="shared" si="25"/>
        <v>2.0833333333332815E-2</v>
      </c>
      <c r="R44" s="16"/>
      <c r="S44" s="16"/>
      <c r="T44" s="16">
        <v>205</v>
      </c>
      <c r="U44" s="15">
        <v>0.78277777777777624</v>
      </c>
      <c r="V44" s="15">
        <v>0.87513888888888802</v>
      </c>
      <c r="W44" s="15">
        <v>9.2361111111111782E-2</v>
      </c>
      <c r="X44" s="16"/>
      <c r="Y44" s="16"/>
      <c r="Z44" s="16"/>
      <c r="AA44" s="16"/>
      <c r="AB44" s="16"/>
      <c r="AC44" s="16"/>
      <c r="AD44" s="16"/>
      <c r="AE44" s="16"/>
      <c r="AF44" s="16"/>
      <c r="AG44" s="10">
        <v>0.88194444444444442</v>
      </c>
      <c r="AH44" s="9" t="s">
        <v>19</v>
      </c>
      <c r="AI44" s="14">
        <v>189.3</v>
      </c>
      <c r="AJ44" s="10">
        <f>G44+O44+W44+AE44</f>
        <v>0.25416666666666665</v>
      </c>
      <c r="AK44" s="15">
        <f t="shared" si="26"/>
        <v>0.31597222222222221</v>
      </c>
      <c r="AL44" s="10">
        <f t="shared" si="27"/>
        <v>4.2499999999999205E-2</v>
      </c>
      <c r="AM44" s="15"/>
      <c r="AN44" s="31" t="s">
        <v>75</v>
      </c>
      <c r="AP44" s="17"/>
      <c r="AQ44" s="17"/>
      <c r="AR44" s="17"/>
      <c r="AS44" s="17"/>
      <c r="AT44" s="18"/>
    </row>
    <row r="45" spans="1:52" s="8" customFormat="1" ht="21.75" customHeight="1" x14ac:dyDescent="0.25">
      <c r="A45" s="9">
        <v>39</v>
      </c>
      <c r="B45" s="10">
        <v>0.56944444444444442</v>
      </c>
      <c r="C45" s="9" t="s">
        <v>19</v>
      </c>
      <c r="D45" s="16">
        <v>207</v>
      </c>
      <c r="E45" s="15">
        <v>0.57861111111111085</v>
      </c>
      <c r="F45" s="15">
        <v>0.67236111111111085</v>
      </c>
      <c r="G45" s="15">
        <f t="shared" si="22"/>
        <v>9.375E-2</v>
      </c>
      <c r="H45" s="16"/>
      <c r="I45" s="10">
        <f t="shared" si="23"/>
        <v>2.291666666666603E-2</v>
      </c>
      <c r="J45" s="16"/>
      <c r="K45" s="16"/>
      <c r="L45" s="16">
        <v>209</v>
      </c>
      <c r="M45" s="15">
        <v>0.69527777777777688</v>
      </c>
      <c r="N45" s="15">
        <v>0.7723611111111105</v>
      </c>
      <c r="O45" s="15">
        <v>7.7083333333333615E-2</v>
      </c>
      <c r="P45" s="16"/>
      <c r="Q45" s="10">
        <f t="shared" si="25"/>
        <v>2.0833333333333259E-2</v>
      </c>
      <c r="R45" s="16"/>
      <c r="S45" s="16"/>
      <c r="T45" s="27">
        <v>201</v>
      </c>
      <c r="U45" s="15">
        <v>0.79319444444444376</v>
      </c>
      <c r="V45" s="15">
        <v>0.89930555555555547</v>
      </c>
      <c r="W45" s="15">
        <v>0.10611111111111171</v>
      </c>
      <c r="X45" s="38" t="s">
        <v>30</v>
      </c>
      <c r="Y45" s="16"/>
      <c r="Z45" s="16"/>
      <c r="AA45" s="16"/>
      <c r="AB45" s="16"/>
      <c r="AC45" s="16"/>
      <c r="AD45" s="16"/>
      <c r="AE45" s="16"/>
      <c r="AF45" s="16"/>
      <c r="AG45" s="10">
        <v>0.90277777777777768</v>
      </c>
      <c r="AH45" s="9" t="s">
        <v>68</v>
      </c>
      <c r="AI45" s="14">
        <v>169.88</v>
      </c>
      <c r="AJ45" s="10">
        <f>G45+O45+W45+AE45</f>
        <v>0.27694444444444533</v>
      </c>
      <c r="AK45" s="15">
        <f t="shared" si="26"/>
        <v>0.33333333333333326</v>
      </c>
      <c r="AL45" s="10">
        <f t="shared" si="27"/>
        <v>4.3749999999999289E-2</v>
      </c>
      <c r="AM45" s="15"/>
      <c r="AN45" s="28" t="s">
        <v>76</v>
      </c>
      <c r="AP45" s="17"/>
      <c r="AQ45" s="17"/>
      <c r="AR45" s="17"/>
      <c r="AS45" s="17"/>
      <c r="AT45" s="18"/>
    </row>
    <row r="46" spans="1:52" s="8" customFormat="1" ht="21.75" customHeight="1" x14ac:dyDescent="0.25">
      <c r="A46" s="9"/>
      <c r="B46" s="10"/>
      <c r="C46" s="9"/>
      <c r="D46" s="16"/>
      <c r="E46" s="15"/>
      <c r="F46" s="15"/>
      <c r="G46" s="15"/>
      <c r="H46" s="16"/>
      <c r="I46" s="10"/>
      <c r="J46" s="16"/>
      <c r="K46" s="16"/>
      <c r="L46" s="16"/>
      <c r="M46" s="15"/>
      <c r="N46" s="15"/>
      <c r="O46" s="15"/>
      <c r="P46" s="16"/>
      <c r="Q46" s="10"/>
      <c r="R46" s="16"/>
      <c r="S46" s="16"/>
      <c r="T46" s="27"/>
      <c r="U46" s="15"/>
      <c r="V46" s="15"/>
      <c r="W46" s="15"/>
      <c r="X46" s="38"/>
      <c r="Y46" s="16"/>
      <c r="Z46" s="16"/>
      <c r="AA46" s="16"/>
      <c r="AB46" s="16"/>
      <c r="AC46" s="16"/>
      <c r="AD46" s="16"/>
      <c r="AE46" s="16"/>
      <c r="AF46" s="16"/>
      <c r="AG46" s="10"/>
      <c r="AH46" s="9"/>
      <c r="AI46" s="14"/>
      <c r="AJ46" s="10"/>
      <c r="AK46" s="15"/>
      <c r="AL46" s="10"/>
      <c r="AM46" s="15"/>
      <c r="AN46" s="16"/>
      <c r="AP46" s="17"/>
      <c r="AQ46" s="17"/>
      <c r="AR46" s="17"/>
      <c r="AS46" s="17"/>
      <c r="AT46" s="18"/>
    </row>
    <row r="47" spans="1:52" s="8" customFormat="1" ht="21.75" customHeight="1" x14ac:dyDescent="0.25">
      <c r="A47" s="9">
        <v>40</v>
      </c>
      <c r="B47" s="15">
        <v>0.57291666666666663</v>
      </c>
      <c r="C47" s="9" t="s">
        <v>22</v>
      </c>
      <c r="D47" s="19" t="s">
        <v>23</v>
      </c>
      <c r="E47" s="39"/>
      <c r="F47" s="20"/>
      <c r="G47" s="15"/>
      <c r="H47" s="16"/>
      <c r="I47" s="10"/>
      <c r="J47" s="16"/>
      <c r="K47" s="16"/>
      <c r="L47" s="19" t="s">
        <v>23</v>
      </c>
      <c r="M47" s="16"/>
      <c r="N47" s="16"/>
      <c r="O47" s="16"/>
      <c r="P47" s="16"/>
      <c r="Q47" s="15"/>
      <c r="R47" s="16"/>
      <c r="S47" s="16"/>
      <c r="T47" s="19" t="s">
        <v>23</v>
      </c>
      <c r="U47" s="15"/>
      <c r="V47" s="25"/>
      <c r="W47" s="15"/>
      <c r="X47" s="16"/>
      <c r="Y47" s="16"/>
      <c r="Z47" s="16"/>
      <c r="AA47" s="16"/>
      <c r="AB47" s="16"/>
      <c r="AC47" s="16"/>
      <c r="AD47" s="16"/>
      <c r="AE47" s="16"/>
      <c r="AF47" s="16"/>
      <c r="AG47" s="10">
        <v>0.90625</v>
      </c>
      <c r="AH47" s="9" t="s">
        <v>22</v>
      </c>
      <c r="AI47" s="14">
        <v>0</v>
      </c>
      <c r="AJ47" s="10"/>
      <c r="AK47" s="15">
        <f>MOD((AG47-B47),1)</f>
        <v>0.33333333333333337</v>
      </c>
      <c r="AL47" s="10">
        <f>I47+Y47+Q47</f>
        <v>0</v>
      </c>
      <c r="AM47" s="16"/>
      <c r="AN47" s="9" t="s">
        <v>77</v>
      </c>
      <c r="AP47" s="17"/>
      <c r="AQ47" s="17"/>
      <c r="AR47" s="17"/>
      <c r="AS47" s="17"/>
      <c r="AT47" s="18"/>
    </row>
    <row r="48" spans="1:52" s="8" customFormat="1" ht="21.75" customHeight="1" x14ac:dyDescent="0.25">
      <c r="A48" s="9">
        <v>41</v>
      </c>
      <c r="B48" s="10">
        <v>0.58333333333333326</v>
      </c>
      <c r="C48" s="9" t="s">
        <v>19</v>
      </c>
      <c r="D48" s="11" t="s">
        <v>78</v>
      </c>
      <c r="E48" s="16"/>
      <c r="F48" s="16"/>
      <c r="G48" s="15"/>
      <c r="H48" s="15"/>
      <c r="I48" s="10"/>
      <c r="J48" s="16"/>
      <c r="K48" s="16"/>
      <c r="L48" s="11" t="s">
        <v>78</v>
      </c>
      <c r="M48" s="15"/>
      <c r="N48" s="15"/>
      <c r="O48" s="15"/>
      <c r="P48" s="16"/>
      <c r="Q48" s="15"/>
      <c r="R48" s="16"/>
      <c r="S48" s="19"/>
      <c r="T48" s="11" t="s">
        <v>78</v>
      </c>
      <c r="U48" s="15"/>
      <c r="V48" s="25"/>
      <c r="W48" s="15"/>
      <c r="X48" s="16"/>
      <c r="Y48" s="16"/>
      <c r="Z48" s="16"/>
      <c r="AA48" s="16"/>
      <c r="AB48" s="16"/>
      <c r="AC48" s="16"/>
      <c r="AD48" s="16"/>
      <c r="AE48" s="16"/>
      <c r="AF48" s="38"/>
      <c r="AG48" s="10">
        <v>0.91666666666666663</v>
      </c>
      <c r="AH48" s="9" t="s">
        <v>19</v>
      </c>
      <c r="AI48" s="14">
        <v>0</v>
      </c>
      <c r="AJ48" s="10"/>
      <c r="AK48" s="15">
        <f>MOD((AG48-B48),1)</f>
        <v>0.33333333333333337</v>
      </c>
      <c r="AL48" s="10">
        <f>I48+Y48+Q48</f>
        <v>0</v>
      </c>
      <c r="AM48" s="16"/>
      <c r="AN48" s="16" t="s">
        <v>79</v>
      </c>
      <c r="AP48" s="17"/>
      <c r="AQ48" s="17"/>
      <c r="AR48" s="17"/>
      <c r="AS48" s="17"/>
      <c r="AT48" s="18"/>
      <c r="AW48" s="22"/>
      <c r="AX48" s="22"/>
      <c r="AY48" s="22"/>
      <c r="AZ48" s="22"/>
    </row>
    <row r="49" spans="1:52" s="8" customFormat="1" ht="21.75" customHeight="1" x14ac:dyDescent="0.25">
      <c r="A49" s="9"/>
      <c r="B49" s="10"/>
      <c r="C49" s="9"/>
      <c r="D49" s="11"/>
      <c r="E49" s="16"/>
      <c r="F49" s="16"/>
      <c r="G49" s="15"/>
      <c r="H49" s="15"/>
      <c r="I49" s="10"/>
      <c r="J49" s="16"/>
      <c r="K49" s="16"/>
      <c r="L49" s="11"/>
      <c r="M49" s="15"/>
      <c r="N49" s="15"/>
      <c r="O49" s="15"/>
      <c r="P49" s="16"/>
      <c r="Q49" s="15"/>
      <c r="R49" s="16"/>
      <c r="S49" s="19"/>
      <c r="T49" s="11"/>
      <c r="U49" s="15"/>
      <c r="V49" s="25"/>
      <c r="W49" s="15"/>
      <c r="X49" s="16"/>
      <c r="Y49" s="16"/>
      <c r="Z49" s="16"/>
      <c r="AA49" s="16"/>
      <c r="AB49" s="16"/>
      <c r="AC49" s="16"/>
      <c r="AD49" s="16"/>
      <c r="AE49" s="16"/>
      <c r="AF49" s="38"/>
      <c r="AG49" s="10"/>
      <c r="AH49" s="9"/>
      <c r="AI49" s="14"/>
      <c r="AJ49" s="10"/>
      <c r="AK49" s="15"/>
      <c r="AL49" s="10"/>
      <c r="AM49" s="16"/>
      <c r="AN49" s="16"/>
      <c r="AP49" s="17"/>
      <c r="AQ49" s="17"/>
      <c r="AR49" s="17"/>
      <c r="AS49" s="17"/>
      <c r="AT49" s="18"/>
      <c r="AW49" s="22"/>
      <c r="AX49" s="22"/>
      <c r="AY49" s="22"/>
      <c r="AZ49" s="22"/>
    </row>
    <row r="50" spans="1:52" s="8" customFormat="1" ht="21.75" customHeight="1" x14ac:dyDescent="0.25">
      <c r="A50" s="9">
        <v>42</v>
      </c>
      <c r="B50" s="10">
        <v>0.57291666666666663</v>
      </c>
      <c r="C50" s="16" t="s">
        <v>36</v>
      </c>
      <c r="D50" s="16">
        <v>209</v>
      </c>
      <c r="E50" s="15">
        <v>0.5854166666666667</v>
      </c>
      <c r="F50" s="15">
        <v>0.60083333333333289</v>
      </c>
      <c r="G50" s="15">
        <f>MOD(F50-E50,1)</f>
        <v>1.541666666666619E-2</v>
      </c>
      <c r="H50" s="16"/>
      <c r="I50" s="10">
        <f>M50-F50</f>
        <v>1.1111111111111072E-2</v>
      </c>
      <c r="J50" s="16"/>
      <c r="K50" s="16"/>
      <c r="L50" s="16">
        <v>215</v>
      </c>
      <c r="M50" s="15">
        <v>0.61194444444444396</v>
      </c>
      <c r="N50" s="15">
        <v>0.70638888888888796</v>
      </c>
      <c r="O50" s="15">
        <f>MOD(N50-M50,1)</f>
        <v>9.4444444444443998E-2</v>
      </c>
      <c r="P50" s="16"/>
      <c r="Q50" s="10">
        <f>U50-N50</f>
        <v>2.1527777777778478E-2</v>
      </c>
      <c r="R50" s="16"/>
      <c r="S50" s="16"/>
      <c r="T50" s="16">
        <v>219</v>
      </c>
      <c r="U50" s="15">
        <v>0.72791666666666643</v>
      </c>
      <c r="V50" s="15">
        <v>0.81749999999999912</v>
      </c>
      <c r="W50" s="15">
        <f>MOD(V50-U50,1)</f>
        <v>8.9583333333332682E-2</v>
      </c>
      <c r="X50" s="16"/>
      <c r="Y50" s="10">
        <f>AC50-V50</f>
        <v>3.4722222222221988E-2</v>
      </c>
      <c r="Z50" s="16"/>
      <c r="AA50" s="16"/>
      <c r="AB50" s="16">
        <v>207</v>
      </c>
      <c r="AC50" s="15">
        <v>0.8522222222222211</v>
      </c>
      <c r="AD50" s="25">
        <v>0.89861111111111114</v>
      </c>
      <c r="AE50" s="15">
        <f>MOD(AD50-AC50,1)</f>
        <v>4.6388888888890034E-2</v>
      </c>
      <c r="AF50" s="16" t="s">
        <v>80</v>
      </c>
      <c r="AG50" s="10">
        <v>0.90625</v>
      </c>
      <c r="AH50" s="9" t="s">
        <v>81</v>
      </c>
      <c r="AI50" s="14">
        <v>145.51</v>
      </c>
      <c r="AJ50" s="10">
        <f>G50+O50+W50+AE50</f>
        <v>0.2458333333333329</v>
      </c>
      <c r="AK50" s="15">
        <f>MOD((AG50-B50),1)</f>
        <v>0.33333333333333337</v>
      </c>
      <c r="AL50" s="10">
        <f>I50+Y50+Q50</f>
        <v>6.7361111111111538E-2</v>
      </c>
      <c r="AM50" s="15"/>
      <c r="AN50" s="16" t="s">
        <v>82</v>
      </c>
      <c r="AP50" s="17"/>
      <c r="AQ50" s="17"/>
      <c r="AR50" s="17"/>
      <c r="AS50" s="17"/>
      <c r="AT50" s="18"/>
    </row>
    <row r="51" spans="1:52" s="8" customFormat="1" ht="21.75" customHeight="1" x14ac:dyDescent="0.25">
      <c r="A51" s="9">
        <v>43</v>
      </c>
      <c r="B51" s="10">
        <v>0.57291666666666663</v>
      </c>
      <c r="C51" s="15" t="s">
        <v>32</v>
      </c>
      <c r="D51" s="16">
        <v>217</v>
      </c>
      <c r="E51" s="25">
        <v>0.58402777777777781</v>
      </c>
      <c r="F51" s="15">
        <v>0.65638888888888891</v>
      </c>
      <c r="G51" s="15">
        <f>MOD(F51-E51,1)</f>
        <v>7.2361111111111098E-2</v>
      </c>
      <c r="H51" s="16"/>
      <c r="I51" s="10">
        <f>M51-F51</f>
        <v>2.2222222222222032E-2</v>
      </c>
      <c r="J51" s="16"/>
      <c r="K51" s="16"/>
      <c r="L51" s="16">
        <v>221</v>
      </c>
      <c r="M51" s="15">
        <v>0.67861111111111094</v>
      </c>
      <c r="N51" s="15">
        <v>0.76888888888888796</v>
      </c>
      <c r="O51" s="15">
        <f>MOD(N51-M51,1)</f>
        <v>9.0277777777777013E-2</v>
      </c>
      <c r="P51" s="16"/>
      <c r="Q51" s="10">
        <f>U51-N51</f>
        <v>2.0833333333334259E-2</v>
      </c>
      <c r="R51" s="16"/>
      <c r="S51" s="16"/>
      <c r="T51" s="16">
        <v>210</v>
      </c>
      <c r="U51" s="15">
        <v>0.78972222222222221</v>
      </c>
      <c r="V51" s="15">
        <v>0.87999999999999878</v>
      </c>
      <c r="W51" s="15">
        <v>9.0277777777776569E-2</v>
      </c>
      <c r="X51" s="16"/>
      <c r="Y51" s="10"/>
      <c r="Z51" s="16"/>
      <c r="AA51" s="16"/>
      <c r="AB51" s="16"/>
      <c r="AC51" s="16"/>
      <c r="AD51" s="16"/>
      <c r="AE51" s="16"/>
      <c r="AF51" s="16"/>
      <c r="AG51" s="10">
        <v>0.88541666666666663</v>
      </c>
      <c r="AH51" s="9" t="s">
        <v>83</v>
      </c>
      <c r="AI51" s="14">
        <v>189.3</v>
      </c>
      <c r="AJ51" s="10">
        <f>G51+O51+W51+AE51</f>
        <v>0.25291666666666468</v>
      </c>
      <c r="AK51" s="15">
        <f>MOD((AG51-B51),1)</f>
        <v>0.3125</v>
      </c>
      <c r="AL51" s="10">
        <f>I51+Y51+Q51</f>
        <v>4.3055555555556291E-2</v>
      </c>
      <c r="AM51" s="15"/>
      <c r="AN51" s="31" t="s">
        <v>84</v>
      </c>
      <c r="AP51" s="17"/>
      <c r="AQ51" s="17"/>
      <c r="AR51" s="17"/>
      <c r="AS51" s="17"/>
      <c r="AT51" s="18"/>
    </row>
    <row r="52" spans="1:52" s="8" customFormat="1" ht="21.75" customHeight="1" x14ac:dyDescent="0.25">
      <c r="A52" s="9">
        <v>44</v>
      </c>
      <c r="B52" s="10">
        <v>0.57291666666666663</v>
      </c>
      <c r="C52" s="9" t="s">
        <v>19</v>
      </c>
      <c r="D52" s="16">
        <v>221</v>
      </c>
      <c r="E52" s="15">
        <v>0.58416666666666595</v>
      </c>
      <c r="F52" s="15">
        <v>0.67861111111111094</v>
      </c>
      <c r="G52" s="15">
        <f>MOD(F52-E52,1)</f>
        <v>9.4444444444444997E-2</v>
      </c>
      <c r="H52" s="16"/>
      <c r="I52" s="10">
        <f>M52-F52</f>
        <v>2.152777777777759E-2</v>
      </c>
      <c r="J52" s="16"/>
      <c r="K52" s="16"/>
      <c r="L52" s="16">
        <v>210</v>
      </c>
      <c r="M52" s="15">
        <v>0.70013888888888853</v>
      </c>
      <c r="N52" s="15">
        <v>0.78972222222222221</v>
      </c>
      <c r="O52" s="15">
        <f>MOD(N52-M52,1)</f>
        <v>8.9583333333333681E-2</v>
      </c>
      <c r="P52" s="16"/>
      <c r="Q52" s="10">
        <f>U52-N52</f>
        <v>2.0833333333332482E-2</v>
      </c>
      <c r="R52" s="16"/>
      <c r="S52" s="16"/>
      <c r="T52" s="16">
        <v>202</v>
      </c>
      <c r="U52" s="15">
        <v>0.8105555555555547</v>
      </c>
      <c r="V52" s="15">
        <v>0.90083333333333304</v>
      </c>
      <c r="W52" s="15">
        <f>MOD(V52-U52,1)</f>
        <v>9.0277777777778345E-2</v>
      </c>
      <c r="X52" s="16"/>
      <c r="Y52" s="10"/>
      <c r="Z52" s="38"/>
      <c r="AA52" s="38"/>
      <c r="AB52" s="16"/>
      <c r="AC52" s="16"/>
      <c r="AD52" s="16"/>
      <c r="AE52" s="16"/>
      <c r="AF52" s="16"/>
      <c r="AG52" s="10">
        <v>0.90625</v>
      </c>
      <c r="AH52" s="9" t="s">
        <v>83</v>
      </c>
      <c r="AI52" s="14">
        <v>202.38</v>
      </c>
      <c r="AJ52" s="10">
        <f>G52+O52+W52+AE52</f>
        <v>0.27430555555555702</v>
      </c>
      <c r="AK52" s="15">
        <f>MOD((AG52-B52),1)</f>
        <v>0.33333333333333337</v>
      </c>
      <c r="AL52" s="10">
        <f>I52+Y52+Q52</f>
        <v>4.2361111111110072E-2</v>
      </c>
      <c r="AM52" s="15"/>
      <c r="AN52" s="31" t="s">
        <v>85</v>
      </c>
      <c r="AP52" s="17"/>
      <c r="AQ52" s="17"/>
      <c r="AR52" s="17"/>
      <c r="AS52" s="17"/>
      <c r="AT52" s="18"/>
    </row>
    <row r="53" spans="1:52" s="8" customFormat="1" ht="21.75" customHeight="1" x14ac:dyDescent="0.25">
      <c r="A53" s="9">
        <v>45</v>
      </c>
      <c r="B53" s="10">
        <v>0.57638888888888884</v>
      </c>
      <c r="C53" s="9" t="s">
        <v>19</v>
      </c>
      <c r="D53" s="16">
        <v>208</v>
      </c>
      <c r="E53" s="15">
        <v>0.58972222222222193</v>
      </c>
      <c r="F53" s="15">
        <v>0.68416666666666592</v>
      </c>
      <c r="G53" s="15">
        <f>MOD(F53-E53,1)</f>
        <v>9.4444444444443998E-2</v>
      </c>
      <c r="H53" s="16"/>
      <c r="I53" s="10">
        <f>M53-F53</f>
        <v>2.2222222222222032E-2</v>
      </c>
      <c r="J53" s="16"/>
      <c r="K53" s="16"/>
      <c r="L53" s="16">
        <v>215</v>
      </c>
      <c r="M53" s="15">
        <v>0.70638888888888796</v>
      </c>
      <c r="N53" s="15">
        <v>0.79666666666666819</v>
      </c>
      <c r="O53" s="15">
        <f>MOD(N53-M53,1)</f>
        <v>9.0277777777780233E-2</v>
      </c>
      <c r="P53" s="16"/>
      <c r="Q53" s="10">
        <f>U53-N53</f>
        <v>2.0833333333330928E-2</v>
      </c>
      <c r="R53" s="16"/>
      <c r="S53" s="16"/>
      <c r="T53" s="16">
        <v>219</v>
      </c>
      <c r="U53" s="15">
        <v>0.81749999999999912</v>
      </c>
      <c r="V53" s="15">
        <v>0.85416666666666663</v>
      </c>
      <c r="W53" s="15">
        <f>MOD(V53-U53,1)</f>
        <v>3.6666666666667513E-2</v>
      </c>
      <c r="X53" s="16" t="s">
        <v>30</v>
      </c>
      <c r="Y53" s="10"/>
      <c r="Z53" s="16"/>
      <c r="AA53" s="16"/>
      <c r="AB53" s="16"/>
      <c r="AC53" s="16"/>
      <c r="AD53" s="16"/>
      <c r="AE53" s="16"/>
      <c r="AF53" s="16"/>
      <c r="AG53" s="10">
        <v>0.875</v>
      </c>
      <c r="AH53" s="9" t="s">
        <v>68</v>
      </c>
      <c r="AI53" s="14">
        <v>136.91999999999999</v>
      </c>
      <c r="AJ53" s="10">
        <f>G53+O53+W53+AE53</f>
        <v>0.22138888888889174</v>
      </c>
      <c r="AK53" s="15">
        <f>MOD((AG53-B53),1)</f>
        <v>0.29861111111111116</v>
      </c>
      <c r="AL53" s="10">
        <f>I53+Y53+Q53</f>
        <v>4.305555555555296E-2</v>
      </c>
      <c r="AM53" s="15"/>
      <c r="AN53" s="16" t="s">
        <v>86</v>
      </c>
      <c r="AP53" s="17"/>
      <c r="AQ53" s="17"/>
      <c r="AR53" s="17"/>
      <c r="AS53" s="17"/>
      <c r="AT53" s="18"/>
    </row>
    <row r="54" spans="1:52" s="8" customFormat="1" ht="21.75" customHeight="1" x14ac:dyDescent="0.25">
      <c r="A54" s="34">
        <v>46</v>
      </c>
      <c r="B54" s="10">
        <v>0.57638888888888884</v>
      </c>
      <c r="C54" s="9" t="s">
        <v>19</v>
      </c>
      <c r="D54" s="19" t="s">
        <v>45</v>
      </c>
      <c r="E54" s="15">
        <f>B54+TIME(0,5,0)</f>
        <v>0.57986111111111105</v>
      </c>
      <c r="F54" s="15">
        <f>M54-TIME(0,25,0)</f>
        <v>0.64458333333333273</v>
      </c>
      <c r="G54" s="25">
        <f>MOD(F54-E54,1)</f>
        <v>6.4722222222221681E-2</v>
      </c>
      <c r="H54" s="16"/>
      <c r="I54" s="10">
        <f>M54-F54</f>
        <v>1.736111111111116E-2</v>
      </c>
      <c r="J54" s="16"/>
      <c r="K54" s="16"/>
      <c r="L54" s="16">
        <v>212</v>
      </c>
      <c r="M54" s="15">
        <v>0.66194444444444389</v>
      </c>
      <c r="N54" s="15">
        <v>0.75499999999999901</v>
      </c>
      <c r="O54" s="15">
        <f>MOD(N54-M54,1)</f>
        <v>9.3055555555555114E-2</v>
      </c>
      <c r="P54" s="16"/>
      <c r="Q54" s="10">
        <f>U54-N54</f>
        <v>2.0833333333333481E-2</v>
      </c>
      <c r="R54" s="16"/>
      <c r="S54" s="16"/>
      <c r="T54" s="16">
        <v>208</v>
      </c>
      <c r="U54" s="15">
        <v>0.77583333333333249</v>
      </c>
      <c r="V54" s="15">
        <v>0.86611111111110994</v>
      </c>
      <c r="W54" s="15">
        <v>9.0277777777777457E-2</v>
      </c>
      <c r="X54" s="16"/>
      <c r="Y54" s="10">
        <f>AC54-V54</f>
        <v>2.0833333333333259E-2</v>
      </c>
      <c r="Z54" s="16"/>
      <c r="AA54" s="16"/>
      <c r="AB54" s="16">
        <v>215</v>
      </c>
      <c r="AC54" s="15">
        <v>0.8869444444444432</v>
      </c>
      <c r="AD54" s="25">
        <v>0.90694444444444822</v>
      </c>
      <c r="AE54" s="15">
        <f>MOD(AD54-AC54,1)</f>
        <v>2.0000000000005014E-2</v>
      </c>
      <c r="AF54" s="16"/>
      <c r="AG54" s="10">
        <v>0.90972222222222221</v>
      </c>
      <c r="AH54" s="9" t="s">
        <v>19</v>
      </c>
      <c r="AI54" s="14">
        <v>134.91999999999999</v>
      </c>
      <c r="AJ54" s="10">
        <f>O54+W54+AE54</f>
        <v>0.20333333333333758</v>
      </c>
      <c r="AK54" s="15">
        <f>MOD((AG54-B54),1)</f>
        <v>0.33333333333333337</v>
      </c>
      <c r="AL54" s="10">
        <f>I54+Y54+Q54</f>
        <v>5.9027777777777901E-2</v>
      </c>
      <c r="AM54" s="15">
        <f>G54</f>
        <v>6.4722222222221681E-2</v>
      </c>
      <c r="AN54" s="16" t="s">
        <v>87</v>
      </c>
      <c r="AP54" s="17"/>
      <c r="AQ54" s="17"/>
      <c r="AR54" s="17"/>
      <c r="AS54" s="17"/>
      <c r="AT54" s="18"/>
    </row>
    <row r="55" spans="1:52" s="8" customFormat="1" ht="21.75" customHeight="1" x14ac:dyDescent="0.25">
      <c r="A55" s="9"/>
      <c r="B55" s="10"/>
      <c r="C55" s="9"/>
      <c r="D55" s="19"/>
      <c r="E55" s="15"/>
      <c r="F55" s="15"/>
      <c r="G55" s="25"/>
      <c r="H55" s="16"/>
      <c r="I55" s="10"/>
      <c r="J55" s="16"/>
      <c r="K55" s="16"/>
      <c r="L55" s="16"/>
      <c r="M55" s="15"/>
      <c r="N55" s="15"/>
      <c r="O55" s="15"/>
      <c r="P55" s="16"/>
      <c r="Q55" s="10"/>
      <c r="R55" s="16"/>
      <c r="S55" s="16"/>
      <c r="T55" s="16"/>
      <c r="U55" s="15"/>
      <c r="V55" s="15"/>
      <c r="W55" s="15"/>
      <c r="X55" s="16"/>
      <c r="Y55" s="10"/>
      <c r="Z55" s="16"/>
      <c r="AA55" s="16"/>
      <c r="AB55" s="16"/>
      <c r="AC55" s="15"/>
      <c r="AD55" s="25"/>
      <c r="AE55" s="15"/>
      <c r="AF55" s="16"/>
      <c r="AG55" s="10"/>
      <c r="AH55" s="9"/>
      <c r="AI55" s="14"/>
      <c r="AJ55" s="10"/>
      <c r="AK55" s="15"/>
      <c r="AL55" s="10"/>
      <c r="AM55" s="15"/>
      <c r="AN55" s="16"/>
      <c r="AP55" s="17"/>
      <c r="AQ55" s="17"/>
      <c r="AR55" s="17"/>
      <c r="AS55" s="17"/>
      <c r="AT55" s="18"/>
    </row>
    <row r="56" spans="1:52" s="8" customFormat="1" ht="21.75" customHeight="1" x14ac:dyDescent="0.25">
      <c r="A56" s="9">
        <v>47</v>
      </c>
      <c r="B56" s="10">
        <v>0.58333333333333326</v>
      </c>
      <c r="C56" s="9" t="s">
        <v>19</v>
      </c>
      <c r="D56" s="16">
        <v>214</v>
      </c>
      <c r="E56" s="15">
        <v>0.59527777777777691</v>
      </c>
      <c r="F56" s="15">
        <v>0.6897222222222219</v>
      </c>
      <c r="G56" s="15">
        <f t="shared" ref="G56:G64" si="28">MOD(F56-E56,1)</f>
        <v>9.4444444444444997E-2</v>
      </c>
      <c r="H56" s="16"/>
      <c r="I56" s="10">
        <f t="shared" ref="I56:I64" si="29">M56-F56</f>
        <v>2.1527777777777701E-2</v>
      </c>
      <c r="J56" s="16"/>
      <c r="K56" s="16"/>
      <c r="L56" s="16">
        <v>211</v>
      </c>
      <c r="M56" s="15">
        <v>0.7112499999999996</v>
      </c>
      <c r="N56" s="15">
        <v>0.80361111111111017</v>
      </c>
      <c r="O56" s="15">
        <f t="shared" ref="O56:O64" si="30">MOD(N56-M56,1)</f>
        <v>9.2361111111110561E-2</v>
      </c>
      <c r="P56" s="16"/>
      <c r="Q56" s="10">
        <f t="shared" ref="Q56:Q64" si="31">U56-N56</f>
        <v>2.0833333333333259E-2</v>
      </c>
      <c r="R56" s="16"/>
      <c r="S56" s="16"/>
      <c r="T56" s="16">
        <v>220</v>
      </c>
      <c r="U56" s="15">
        <v>0.82444444444444343</v>
      </c>
      <c r="V56" s="15">
        <v>0.90416666666666667</v>
      </c>
      <c r="W56" s="15">
        <f t="shared" ref="W56:W64" si="32">MOD(V56-U56,1)</f>
        <v>7.9722222222223249E-2</v>
      </c>
      <c r="X56" s="16" t="s">
        <v>36</v>
      </c>
      <c r="Y56" s="40"/>
      <c r="Z56" s="40"/>
      <c r="AA56" s="40"/>
      <c r="AB56" s="16"/>
      <c r="AC56" s="16"/>
      <c r="AD56" s="16"/>
      <c r="AE56" s="16"/>
      <c r="AF56" s="16"/>
      <c r="AG56" s="10">
        <v>0.90972222222222221</v>
      </c>
      <c r="AH56" s="9" t="s">
        <v>37</v>
      </c>
      <c r="AI56" s="14">
        <v>191.79</v>
      </c>
      <c r="AJ56" s="10">
        <f>G56+O56+W56+AE56</f>
        <v>0.26652777777777881</v>
      </c>
      <c r="AK56" s="15">
        <f t="shared" ref="AK56:AK64" si="33">MOD((AG56-B56),1)</f>
        <v>0.32638888888888895</v>
      </c>
      <c r="AL56" s="10">
        <f t="shared" ref="AL56:AL64" si="34">I56+Y56+Q56</f>
        <v>4.2361111111110961E-2</v>
      </c>
      <c r="AM56" s="15"/>
      <c r="AN56" s="31" t="s">
        <v>88</v>
      </c>
      <c r="AP56" s="17"/>
      <c r="AQ56" s="17"/>
      <c r="AR56" s="17"/>
      <c r="AS56" s="17"/>
      <c r="AT56" s="18"/>
    </row>
    <row r="57" spans="1:52" s="8" customFormat="1" ht="21.75" customHeight="1" x14ac:dyDescent="0.25">
      <c r="A57" s="9">
        <v>48</v>
      </c>
      <c r="B57" s="10">
        <v>0.58333333333333326</v>
      </c>
      <c r="C57" s="9" t="s">
        <v>19</v>
      </c>
      <c r="D57" s="19" t="s">
        <v>45</v>
      </c>
      <c r="E57" s="15">
        <f>B57+TIME(0,5,0)</f>
        <v>0.58680555555555547</v>
      </c>
      <c r="F57" s="15">
        <f>M57-TIME(0,25,0)</f>
        <v>0.70499999999999974</v>
      </c>
      <c r="G57" s="25">
        <f t="shared" si="28"/>
        <v>0.11819444444444427</v>
      </c>
      <c r="H57" s="16"/>
      <c r="I57" s="10">
        <f t="shared" si="29"/>
        <v>1.736111111111116E-2</v>
      </c>
      <c r="J57" s="16"/>
      <c r="K57" s="16"/>
      <c r="L57" s="27">
        <v>206</v>
      </c>
      <c r="M57" s="15">
        <v>0.7223611111111109</v>
      </c>
      <c r="N57" s="15">
        <v>0.80013888888888807</v>
      </c>
      <c r="O57" s="15">
        <f t="shared" si="30"/>
        <v>7.7777777777777168E-2</v>
      </c>
      <c r="P57" s="16"/>
      <c r="Q57" s="10">
        <f t="shared" si="31"/>
        <v>2.0833333333333259E-2</v>
      </c>
      <c r="R57" s="16"/>
      <c r="S57" s="16"/>
      <c r="T57" s="16">
        <v>223</v>
      </c>
      <c r="U57" s="15">
        <v>0.82097222222222133</v>
      </c>
      <c r="V57" s="15">
        <v>0.912638888888888</v>
      </c>
      <c r="W57" s="15">
        <f t="shared" si="32"/>
        <v>9.1666666666666674E-2</v>
      </c>
      <c r="X57" s="16"/>
      <c r="Y57" s="16"/>
      <c r="Z57" s="16"/>
      <c r="AA57" s="16"/>
      <c r="AB57" s="16"/>
      <c r="AC57" s="16"/>
      <c r="AD57" s="16"/>
      <c r="AE57" s="16"/>
      <c r="AF57" s="16"/>
      <c r="AG57" s="10">
        <v>0.91666666666666663</v>
      </c>
      <c r="AH57" s="9" t="s">
        <v>19</v>
      </c>
      <c r="AI57" s="14">
        <v>122.13999999999999</v>
      </c>
      <c r="AJ57" s="10">
        <f>O57+W57+AE57</f>
        <v>0.16944444444444384</v>
      </c>
      <c r="AK57" s="15">
        <f t="shared" si="33"/>
        <v>0.33333333333333337</v>
      </c>
      <c r="AL57" s="10">
        <f t="shared" si="34"/>
        <v>3.819444444444442E-2</v>
      </c>
      <c r="AM57" s="15">
        <f>G57</f>
        <v>0.11819444444444427</v>
      </c>
      <c r="AN57" s="16" t="s">
        <v>89</v>
      </c>
      <c r="AP57" s="17"/>
      <c r="AQ57" s="17"/>
      <c r="AR57" s="17"/>
      <c r="AS57" s="17"/>
      <c r="AT57" s="18"/>
    </row>
    <row r="58" spans="1:52" s="8" customFormat="1" ht="21.75" customHeight="1" x14ac:dyDescent="0.25">
      <c r="A58" s="9">
        <v>49</v>
      </c>
      <c r="B58" s="10">
        <v>0.59027777777777779</v>
      </c>
      <c r="C58" s="9" t="s">
        <v>19</v>
      </c>
      <c r="D58" s="16">
        <v>209</v>
      </c>
      <c r="E58" s="15">
        <v>0.60083333333333289</v>
      </c>
      <c r="F58" s="15">
        <v>0.69527777777777688</v>
      </c>
      <c r="G58" s="15">
        <f t="shared" si="28"/>
        <v>9.4444444444443998E-2</v>
      </c>
      <c r="H58" s="16"/>
      <c r="I58" s="10">
        <f t="shared" si="29"/>
        <v>2.2222222222222032E-2</v>
      </c>
      <c r="J58" s="16"/>
      <c r="K58" s="16"/>
      <c r="L58" s="27">
        <v>201</v>
      </c>
      <c r="M58" s="15">
        <v>0.71749999999999892</v>
      </c>
      <c r="N58" s="15">
        <v>0.79319444444444376</v>
      </c>
      <c r="O58" s="15">
        <f t="shared" si="30"/>
        <v>7.5694444444444842E-2</v>
      </c>
      <c r="P58" s="16"/>
      <c r="Q58" s="10">
        <f t="shared" si="31"/>
        <v>2.0833333333333148E-2</v>
      </c>
      <c r="R58" s="16"/>
      <c r="S58" s="16"/>
      <c r="T58" s="16">
        <v>213</v>
      </c>
      <c r="U58" s="15">
        <v>0.81402777777777691</v>
      </c>
      <c r="V58" s="15">
        <v>0.90708333333333246</v>
      </c>
      <c r="W58" s="15">
        <f t="shared" si="32"/>
        <v>9.3055555555555558E-2</v>
      </c>
      <c r="X58" s="16"/>
      <c r="Y58" s="16"/>
      <c r="Z58" s="16"/>
      <c r="AA58" s="16"/>
      <c r="AB58" s="16"/>
      <c r="AC58" s="16"/>
      <c r="AD58" s="16"/>
      <c r="AE58" s="16"/>
      <c r="AF58" s="16"/>
      <c r="AG58" s="10">
        <v>0.90972222222222221</v>
      </c>
      <c r="AH58" s="9" t="s">
        <v>19</v>
      </c>
      <c r="AI58" s="14">
        <v>189.59999999999997</v>
      </c>
      <c r="AJ58" s="10">
        <f t="shared" ref="AJ58:AJ64" si="35">G58+O58+W58+AE58</f>
        <v>0.2631944444444444</v>
      </c>
      <c r="AK58" s="15">
        <f t="shared" si="33"/>
        <v>0.31944444444444442</v>
      </c>
      <c r="AL58" s="10">
        <f t="shared" si="34"/>
        <v>4.3055555555555181E-2</v>
      </c>
      <c r="AM58" s="15"/>
      <c r="AN58" s="31" t="s">
        <v>90</v>
      </c>
      <c r="AP58" s="17"/>
      <c r="AQ58" s="17"/>
      <c r="AR58" s="17"/>
      <c r="AS58" s="17"/>
      <c r="AT58" s="18"/>
    </row>
    <row r="59" spans="1:52" s="8" customFormat="1" ht="21.75" customHeight="1" x14ac:dyDescent="0.25">
      <c r="A59" s="9">
        <v>50</v>
      </c>
      <c r="B59" s="10">
        <v>0.59375</v>
      </c>
      <c r="C59" s="9" t="s">
        <v>19</v>
      </c>
      <c r="D59" s="16">
        <v>210</v>
      </c>
      <c r="E59" s="15">
        <v>0.60638888888888787</v>
      </c>
      <c r="F59" s="15">
        <v>0.70013888888888853</v>
      </c>
      <c r="G59" s="15">
        <f t="shared" si="28"/>
        <v>9.3750000000000666E-2</v>
      </c>
      <c r="H59" s="16"/>
      <c r="I59" s="10">
        <f t="shared" si="29"/>
        <v>2.016203703703745E-2</v>
      </c>
      <c r="J59" s="16"/>
      <c r="K59" s="16"/>
      <c r="L59" s="38">
        <v>202</v>
      </c>
      <c r="M59" s="30">
        <v>0.72030092592592598</v>
      </c>
      <c r="N59" s="30">
        <v>0.8105555555555547</v>
      </c>
      <c r="O59" s="30">
        <f t="shared" si="30"/>
        <v>9.0254629629628713E-2</v>
      </c>
      <c r="P59" s="16"/>
      <c r="Q59" s="10">
        <f t="shared" si="31"/>
        <v>2.7777777777777568E-2</v>
      </c>
      <c r="R59" s="16"/>
      <c r="S59" s="16"/>
      <c r="T59" s="16">
        <v>204</v>
      </c>
      <c r="U59" s="15">
        <v>0.83833333333333226</v>
      </c>
      <c r="V59" s="15">
        <v>0.91527777777777775</v>
      </c>
      <c r="W59" s="15">
        <f t="shared" si="32"/>
        <v>7.6944444444445481E-2</v>
      </c>
      <c r="X59" s="16" t="s">
        <v>36</v>
      </c>
      <c r="Y59" s="16"/>
      <c r="Z59" s="16"/>
      <c r="AA59" s="16"/>
      <c r="AB59" s="16"/>
      <c r="AC59" s="16"/>
      <c r="AD59" s="16"/>
      <c r="AE59" s="16"/>
      <c r="AF59" s="16"/>
      <c r="AG59" s="10">
        <v>0.90972222222222221</v>
      </c>
      <c r="AH59" s="9" t="s">
        <v>37</v>
      </c>
      <c r="AI59" s="14">
        <v>191.79</v>
      </c>
      <c r="AJ59" s="10">
        <f t="shared" si="35"/>
        <v>0.26094907407407486</v>
      </c>
      <c r="AK59" s="15">
        <f t="shared" si="33"/>
        <v>0.31597222222222221</v>
      </c>
      <c r="AL59" s="10">
        <f t="shared" si="34"/>
        <v>4.7939814814815018E-2</v>
      </c>
      <c r="AM59" s="15"/>
      <c r="AN59" s="26" t="s">
        <v>91</v>
      </c>
      <c r="AP59" s="17"/>
      <c r="AQ59" s="17"/>
      <c r="AR59" s="17"/>
      <c r="AS59" s="17"/>
      <c r="AT59" s="18"/>
    </row>
    <row r="60" spans="1:52" s="8" customFormat="1" ht="21.75" customHeight="1" x14ac:dyDescent="0.25">
      <c r="A60" s="9">
        <v>51</v>
      </c>
      <c r="B60" s="10">
        <v>0.59375</v>
      </c>
      <c r="C60" s="9" t="s">
        <v>19</v>
      </c>
      <c r="D60" s="19" t="s">
        <v>45</v>
      </c>
      <c r="E60" s="15">
        <f>B60+TIME(0,5,0)</f>
        <v>0.59722222222222221</v>
      </c>
      <c r="F60" s="15">
        <f>M60-TIME(0,25,0)</f>
        <v>0.69097222222222221</v>
      </c>
      <c r="G60" s="25">
        <f>MOD(F60-E60,1)</f>
        <v>9.375E-2</v>
      </c>
      <c r="H60" s="16"/>
      <c r="I60" s="10">
        <f>M60-F60</f>
        <v>1.736111111111116E-2</v>
      </c>
      <c r="J60" s="16"/>
      <c r="K60" s="41" t="s">
        <v>92</v>
      </c>
      <c r="L60" s="16">
        <v>205</v>
      </c>
      <c r="M60" s="20">
        <v>0.70833333333333337</v>
      </c>
      <c r="N60" s="20">
        <v>0.78277777777777779</v>
      </c>
      <c r="O60" s="15">
        <f>MOD(N60-M60,1)</f>
        <v>7.4444444444444424E-2</v>
      </c>
      <c r="P60" s="16"/>
      <c r="Q60" s="10">
        <f>U60-N60</f>
        <v>2.0833333333332371E-2</v>
      </c>
      <c r="R60" s="16"/>
      <c r="S60" s="16"/>
      <c r="T60" s="16">
        <v>211</v>
      </c>
      <c r="U60" s="15">
        <v>0.80361111111111017</v>
      </c>
      <c r="V60" s="15">
        <v>0.91666666666666663</v>
      </c>
      <c r="W60" s="15">
        <f>MOD(V60-U60,1)</f>
        <v>0.11305555555555646</v>
      </c>
      <c r="X60" s="16" t="s">
        <v>30</v>
      </c>
      <c r="Y60" s="16"/>
      <c r="Z60" s="16"/>
      <c r="AA60" s="16"/>
      <c r="AB60" s="16"/>
      <c r="AC60" s="16"/>
      <c r="AD60" s="16"/>
      <c r="AE60" s="16"/>
      <c r="AF60" s="16"/>
      <c r="AG60" s="10">
        <v>0.92013888888888884</v>
      </c>
      <c r="AH60" s="9" t="s">
        <v>19</v>
      </c>
      <c r="AI60" s="14">
        <v>123</v>
      </c>
      <c r="AJ60" s="10">
        <f>O60+W60+AE60</f>
        <v>0.18750000000000089</v>
      </c>
      <c r="AK60" s="15">
        <f>MOD((AG60-B60),1)</f>
        <v>0.32638888888888884</v>
      </c>
      <c r="AL60" s="10">
        <f>I60+Y60+Q60</f>
        <v>3.8194444444443532E-2</v>
      </c>
      <c r="AM60" s="15">
        <f>G60</f>
        <v>9.375E-2</v>
      </c>
      <c r="AN60" s="16" t="s">
        <v>93</v>
      </c>
      <c r="AP60" s="17"/>
      <c r="AQ60" s="17"/>
      <c r="AR60" s="17"/>
      <c r="AS60" s="17"/>
      <c r="AT60" s="18"/>
    </row>
    <row r="61" spans="1:52" s="8" customFormat="1" ht="21.75" customHeight="1" x14ac:dyDescent="0.25">
      <c r="A61" s="9">
        <v>52</v>
      </c>
      <c r="B61" s="10">
        <v>0.60416666666666663</v>
      </c>
      <c r="C61" s="9" t="s">
        <v>19</v>
      </c>
      <c r="D61" s="16">
        <v>211</v>
      </c>
      <c r="E61" s="15">
        <v>0.61749999999999894</v>
      </c>
      <c r="F61" s="15">
        <v>0.7112499999999996</v>
      </c>
      <c r="G61" s="15">
        <f t="shared" si="28"/>
        <v>9.3750000000000666E-2</v>
      </c>
      <c r="H61" s="16"/>
      <c r="I61" s="10">
        <f t="shared" si="29"/>
        <v>2.5694444444444131E-2</v>
      </c>
      <c r="J61" s="16"/>
      <c r="K61" s="16"/>
      <c r="L61" s="27">
        <v>217</v>
      </c>
      <c r="M61" s="15">
        <v>0.73694444444444374</v>
      </c>
      <c r="N61" s="15">
        <v>0.80708333333333249</v>
      </c>
      <c r="O61" s="15">
        <f t="shared" si="30"/>
        <v>7.0138888888888751E-2</v>
      </c>
      <c r="P61" s="16"/>
      <c r="Q61" s="10">
        <f t="shared" si="31"/>
        <v>2.4305555555555358E-2</v>
      </c>
      <c r="R61" s="16"/>
      <c r="S61" s="13"/>
      <c r="T61" s="16">
        <v>203</v>
      </c>
      <c r="U61" s="15">
        <v>0.83138888888888784</v>
      </c>
      <c r="V61" s="15">
        <v>0.90972222222222221</v>
      </c>
      <c r="W61" s="15">
        <f t="shared" si="32"/>
        <v>7.8333333333334365E-2</v>
      </c>
      <c r="X61" s="16" t="s">
        <v>36</v>
      </c>
      <c r="Y61" s="16"/>
      <c r="Z61" s="16"/>
      <c r="AA61" s="16"/>
      <c r="AB61" s="16"/>
      <c r="AC61" s="16"/>
      <c r="AD61" s="16"/>
      <c r="AE61" s="16"/>
      <c r="AF61" s="16"/>
      <c r="AG61" s="10">
        <v>0.91319444444444453</v>
      </c>
      <c r="AH61" s="9" t="s">
        <v>37</v>
      </c>
      <c r="AI61" s="14">
        <v>172.07</v>
      </c>
      <c r="AJ61" s="10">
        <f t="shared" si="35"/>
        <v>0.24222222222222378</v>
      </c>
      <c r="AK61" s="15">
        <f t="shared" si="33"/>
        <v>0.3090277777777779</v>
      </c>
      <c r="AL61" s="10">
        <f t="shared" si="34"/>
        <v>4.9999999999999489E-2</v>
      </c>
      <c r="AM61" s="15"/>
      <c r="AN61" s="36" t="s">
        <v>94</v>
      </c>
      <c r="AP61" s="17"/>
      <c r="AQ61" s="17"/>
      <c r="AR61" s="17"/>
      <c r="AS61" s="17"/>
      <c r="AT61" s="18"/>
    </row>
    <row r="62" spans="1:52" s="8" customFormat="1" ht="21.75" customHeight="1" x14ac:dyDescent="0.25">
      <c r="A62" s="9">
        <v>53</v>
      </c>
      <c r="B62" s="10">
        <v>0.61111111111111105</v>
      </c>
      <c r="C62" s="9" t="s">
        <v>19</v>
      </c>
      <c r="D62" s="16">
        <v>201</v>
      </c>
      <c r="E62" s="15">
        <v>0.62305555555555492</v>
      </c>
      <c r="F62" s="15">
        <v>0.71749999999999892</v>
      </c>
      <c r="G62" s="15">
        <f t="shared" si="28"/>
        <v>9.4444444444443998E-2</v>
      </c>
      <c r="H62" s="16"/>
      <c r="I62" s="10">
        <f t="shared" si="29"/>
        <v>2.2916666666667362E-2</v>
      </c>
      <c r="J62" s="16"/>
      <c r="K62" s="16"/>
      <c r="L62" s="16">
        <v>203</v>
      </c>
      <c r="M62" s="15">
        <v>0.74041666666666628</v>
      </c>
      <c r="N62" s="15">
        <v>0.83138888888888784</v>
      </c>
      <c r="O62" s="15">
        <f t="shared" si="30"/>
        <v>9.0972222222221566E-2</v>
      </c>
      <c r="P62" s="16"/>
      <c r="Q62" s="10">
        <f t="shared" si="31"/>
        <v>3.4722222222222099E-2</v>
      </c>
      <c r="R62" s="16"/>
      <c r="S62" s="16"/>
      <c r="T62" s="16">
        <v>208</v>
      </c>
      <c r="U62" s="15">
        <v>0.86611111111110994</v>
      </c>
      <c r="V62" s="25">
        <v>0.89861111111111114</v>
      </c>
      <c r="W62" s="15">
        <f t="shared" si="32"/>
        <v>3.2500000000001195E-2</v>
      </c>
      <c r="X62" s="8" t="s">
        <v>27</v>
      </c>
      <c r="Y62" s="16"/>
      <c r="Z62" s="16"/>
      <c r="AA62" s="16"/>
      <c r="AB62" s="16"/>
      <c r="AC62" s="16"/>
      <c r="AD62" s="16"/>
      <c r="AE62" s="16"/>
      <c r="AF62" s="16"/>
      <c r="AG62" s="10">
        <v>0.90972222222222221</v>
      </c>
      <c r="AH62" s="9" t="s">
        <v>37</v>
      </c>
      <c r="AI62" s="14">
        <v>158.58999999999997</v>
      </c>
      <c r="AJ62" s="10">
        <f t="shared" si="35"/>
        <v>0.21791666666666676</v>
      </c>
      <c r="AK62" s="15">
        <f t="shared" si="33"/>
        <v>0.29861111111111116</v>
      </c>
      <c r="AL62" s="10">
        <f t="shared" si="34"/>
        <v>5.7638888888889461E-2</v>
      </c>
      <c r="AM62" s="15"/>
      <c r="AN62" s="9" t="s">
        <v>95</v>
      </c>
      <c r="AP62" s="17"/>
      <c r="AQ62" s="17"/>
      <c r="AR62" s="17"/>
      <c r="AS62" s="17"/>
      <c r="AT62" s="18"/>
    </row>
    <row r="63" spans="1:52" s="8" customFormat="1" ht="21.75" customHeight="1" x14ac:dyDescent="0.25">
      <c r="A63" s="9">
        <v>54</v>
      </c>
      <c r="B63" s="10">
        <v>0.61805555555555547</v>
      </c>
      <c r="C63" s="9" t="s">
        <v>19</v>
      </c>
      <c r="D63" s="16">
        <v>206</v>
      </c>
      <c r="E63" s="15">
        <v>0.62861111111111079</v>
      </c>
      <c r="F63" s="15">
        <v>0.7223611111111109</v>
      </c>
      <c r="G63" s="15">
        <f t="shared" si="28"/>
        <v>9.3750000000000111E-2</v>
      </c>
      <c r="H63" s="16"/>
      <c r="I63" s="10">
        <f t="shared" si="29"/>
        <v>2.5694444444444242E-2</v>
      </c>
      <c r="J63" s="16"/>
      <c r="K63" s="16"/>
      <c r="L63" s="16">
        <v>204</v>
      </c>
      <c r="M63" s="15">
        <v>0.74805555555555514</v>
      </c>
      <c r="N63" s="15">
        <v>0.83833333333333226</v>
      </c>
      <c r="O63" s="15">
        <f t="shared" si="30"/>
        <v>9.0277777777777124E-2</v>
      </c>
      <c r="P63" s="16"/>
      <c r="Q63" s="10">
        <f t="shared" si="31"/>
        <v>3.1597222222222276E-2</v>
      </c>
      <c r="R63" s="16"/>
      <c r="S63" s="13"/>
      <c r="T63" s="16">
        <v>206</v>
      </c>
      <c r="U63" s="15">
        <v>0.86993055555555454</v>
      </c>
      <c r="V63" s="25">
        <v>0.90555555555555556</v>
      </c>
      <c r="W63" s="15">
        <f t="shared" si="32"/>
        <v>3.5625000000001017E-2</v>
      </c>
      <c r="X63" s="16" t="s">
        <v>27</v>
      </c>
      <c r="Y63" s="16"/>
      <c r="Z63" s="16"/>
      <c r="AA63" s="16"/>
      <c r="AB63" s="16"/>
      <c r="AC63" s="16"/>
      <c r="AD63" s="16"/>
      <c r="AE63" s="16"/>
      <c r="AF63" s="16"/>
      <c r="AG63" s="10">
        <v>0.90277777777777768</v>
      </c>
      <c r="AH63" s="9" t="s">
        <v>19</v>
      </c>
      <c r="AI63" s="14">
        <v>158.58999999999997</v>
      </c>
      <c r="AJ63" s="10">
        <f t="shared" si="35"/>
        <v>0.21965277777777825</v>
      </c>
      <c r="AK63" s="15">
        <f t="shared" si="33"/>
        <v>0.28472222222222221</v>
      </c>
      <c r="AL63" s="10">
        <f t="shared" si="34"/>
        <v>5.7291666666666519E-2</v>
      </c>
      <c r="AM63" s="15"/>
      <c r="AN63" s="16" t="s">
        <v>96</v>
      </c>
      <c r="AP63" s="17"/>
      <c r="AQ63" s="17"/>
      <c r="AR63" s="17"/>
      <c r="AS63" s="17"/>
      <c r="AT63" s="18"/>
    </row>
    <row r="64" spans="1:52" s="8" customFormat="1" ht="21.75" customHeight="1" x14ac:dyDescent="0.25">
      <c r="A64" s="9">
        <v>55</v>
      </c>
      <c r="B64" s="10">
        <v>0.62152777777777779</v>
      </c>
      <c r="C64" s="16" t="s">
        <v>39</v>
      </c>
      <c r="D64" s="19">
        <v>202</v>
      </c>
      <c r="E64" s="20">
        <v>0.63194444444444442</v>
      </c>
      <c r="F64" s="20">
        <v>0.72030092592592587</v>
      </c>
      <c r="G64" s="15">
        <f t="shared" si="28"/>
        <v>8.8356481481481453E-2</v>
      </c>
      <c r="H64" s="16"/>
      <c r="I64" s="10">
        <f t="shared" si="29"/>
        <v>2.4282407407406725E-2</v>
      </c>
      <c r="J64" s="16"/>
      <c r="K64" s="16"/>
      <c r="L64" s="27">
        <v>213</v>
      </c>
      <c r="M64" s="15">
        <v>0.7445833333333326</v>
      </c>
      <c r="N64" s="15">
        <v>0.81402777777777691</v>
      </c>
      <c r="O64" s="15">
        <f t="shared" si="30"/>
        <v>6.9444444444444309E-2</v>
      </c>
      <c r="P64" s="16"/>
      <c r="Q64" s="10">
        <f t="shared" si="31"/>
        <v>3.1249999999999778E-2</v>
      </c>
      <c r="R64" s="16"/>
      <c r="S64" s="13"/>
      <c r="T64" s="16">
        <v>212</v>
      </c>
      <c r="U64" s="15">
        <v>0.84527777777777668</v>
      </c>
      <c r="V64" s="15">
        <v>0.90972222222222221</v>
      </c>
      <c r="W64" s="15">
        <f t="shared" si="32"/>
        <v>6.4444444444445526E-2</v>
      </c>
      <c r="X64" s="16" t="s">
        <v>51</v>
      </c>
      <c r="Y64" s="16"/>
      <c r="Z64" s="16"/>
      <c r="AA64" s="16"/>
      <c r="AB64" s="16"/>
      <c r="AC64" s="16"/>
      <c r="AD64" s="16"/>
      <c r="AE64" s="16"/>
      <c r="AF64" s="16"/>
      <c r="AG64" s="10">
        <v>0.90277777777777768</v>
      </c>
      <c r="AH64" s="9" t="s">
        <v>81</v>
      </c>
      <c r="AI64" s="14">
        <v>94.4</v>
      </c>
      <c r="AJ64" s="10">
        <f t="shared" si="35"/>
        <v>0.22224537037037129</v>
      </c>
      <c r="AK64" s="15">
        <f t="shared" si="33"/>
        <v>0.28124999999999989</v>
      </c>
      <c r="AL64" s="10">
        <f t="shared" si="34"/>
        <v>5.5532407407406503E-2</v>
      </c>
      <c r="AM64" s="15"/>
      <c r="AN64" s="9" t="s">
        <v>97</v>
      </c>
      <c r="AP64" s="17"/>
      <c r="AQ64" s="17"/>
      <c r="AR64" s="17"/>
      <c r="AS64" s="17"/>
      <c r="AT64" s="18"/>
    </row>
    <row r="65" spans="1:46" s="8" customFormat="1" ht="21.75" customHeight="1" x14ac:dyDescent="0.25">
      <c r="A65" s="9"/>
      <c r="B65" s="10"/>
      <c r="C65" s="16"/>
      <c r="D65" s="19"/>
      <c r="E65" s="20"/>
      <c r="F65" s="20"/>
      <c r="G65" s="15"/>
      <c r="H65" s="16"/>
      <c r="I65" s="10"/>
      <c r="J65" s="16"/>
      <c r="K65" s="16"/>
      <c r="L65" s="27"/>
      <c r="M65" s="15"/>
      <c r="N65" s="15"/>
      <c r="O65" s="15"/>
      <c r="P65" s="16"/>
      <c r="Q65" s="10"/>
      <c r="R65" s="16"/>
      <c r="S65" s="13"/>
      <c r="T65" s="16"/>
      <c r="U65" s="15"/>
      <c r="V65" s="15"/>
      <c r="W65" s="15"/>
      <c r="X65" s="16"/>
      <c r="Y65" s="16"/>
      <c r="Z65" s="16"/>
      <c r="AA65" s="16"/>
      <c r="AB65" s="16"/>
      <c r="AC65" s="16"/>
      <c r="AD65" s="16"/>
      <c r="AE65" s="16"/>
      <c r="AF65" s="16"/>
      <c r="AG65" s="10"/>
      <c r="AH65" s="9"/>
      <c r="AI65" s="14"/>
      <c r="AJ65" s="10"/>
      <c r="AK65" s="15"/>
      <c r="AL65" s="10"/>
      <c r="AM65" s="15"/>
      <c r="AN65" s="9"/>
      <c r="AP65" s="17"/>
      <c r="AQ65" s="17"/>
      <c r="AR65" s="17"/>
      <c r="AS65" s="17"/>
      <c r="AT65" s="18"/>
    </row>
    <row r="66" spans="1:46" s="8" customFormat="1" ht="21.75" customHeight="1" x14ac:dyDescent="0.25">
      <c r="A66" s="9">
        <v>56</v>
      </c>
      <c r="B66" s="10">
        <v>0.625</v>
      </c>
      <c r="C66" s="9" t="s">
        <v>98</v>
      </c>
      <c r="D66" s="19">
        <v>205</v>
      </c>
      <c r="E66" s="20">
        <v>0.63541666666666663</v>
      </c>
      <c r="F66" s="20">
        <v>0.70833333333333337</v>
      </c>
      <c r="G66" s="15">
        <f t="shared" ref="G66:G72" si="36">MOD(F66-E66,1)</f>
        <v>7.2916666666666741E-2</v>
      </c>
      <c r="H66" s="54" t="s">
        <v>92</v>
      </c>
      <c r="I66" s="10">
        <f t="shared" ref="I66:I72" si="37">M66-F66</f>
        <v>2.51388888888886E-2</v>
      </c>
      <c r="J66" s="19"/>
      <c r="K66" s="16"/>
      <c r="L66" s="16">
        <v>220</v>
      </c>
      <c r="M66" s="15">
        <v>0.73347222222222197</v>
      </c>
      <c r="N66" s="15">
        <v>0.82444444444444343</v>
      </c>
      <c r="O66" s="15">
        <f t="shared" ref="O66:O72" si="38">MOD(N66-M66,1)</f>
        <v>9.0972222222221455E-2</v>
      </c>
      <c r="P66" s="16"/>
      <c r="Q66" s="10">
        <f>U66-N66</f>
        <v>3.4722222222222099E-2</v>
      </c>
      <c r="R66" s="19"/>
      <c r="S66" s="19"/>
      <c r="T66" s="16">
        <v>221</v>
      </c>
      <c r="U66" s="15">
        <v>0.85916666666666552</v>
      </c>
      <c r="V66" s="25">
        <v>0.89166666666666661</v>
      </c>
      <c r="W66" s="15">
        <f>MOD(V66-U66,1)</f>
        <v>3.2500000000001084E-2</v>
      </c>
      <c r="X66" s="16" t="s">
        <v>27</v>
      </c>
      <c r="Y66" s="16"/>
      <c r="Z66" s="16"/>
      <c r="AA66" s="16"/>
      <c r="AB66" s="16"/>
      <c r="AC66" s="16"/>
      <c r="AD66" s="16"/>
      <c r="AE66" s="16"/>
      <c r="AF66" s="16"/>
      <c r="AG66" s="10">
        <v>0.89930555555555547</v>
      </c>
      <c r="AH66" s="9" t="s">
        <v>37</v>
      </c>
      <c r="AI66" s="14">
        <v>91.13</v>
      </c>
      <c r="AJ66" s="10">
        <f t="shared" ref="AJ66:AJ72" si="39">G66+O66+W66+AE66</f>
        <v>0.19638888888888928</v>
      </c>
      <c r="AK66" s="15">
        <f t="shared" ref="AK66:AK72" si="40">MOD((AG66-B66),1)</f>
        <v>0.27430555555555547</v>
      </c>
      <c r="AL66" s="10">
        <f t="shared" ref="AL66:AL72" si="41">I66+Y66+Q66</f>
        <v>5.9861111111110699E-2</v>
      </c>
      <c r="AM66" s="15"/>
      <c r="AN66" s="9" t="s">
        <v>99</v>
      </c>
      <c r="AP66" s="17"/>
      <c r="AQ66" s="17"/>
      <c r="AR66" s="17"/>
      <c r="AS66" s="17"/>
      <c r="AT66" s="18"/>
    </row>
    <row r="67" spans="1:46" s="8" customFormat="1" ht="21.75" customHeight="1" x14ac:dyDescent="0.25">
      <c r="A67" s="34">
        <v>57</v>
      </c>
      <c r="B67" s="10">
        <v>0.62847222222222221</v>
      </c>
      <c r="C67" s="9" t="s">
        <v>19</v>
      </c>
      <c r="D67" s="16">
        <v>220</v>
      </c>
      <c r="E67" s="15">
        <v>0.63972222222222186</v>
      </c>
      <c r="F67" s="15">
        <v>0.73347222222222197</v>
      </c>
      <c r="G67" s="15">
        <f t="shared" si="36"/>
        <v>9.3750000000000111E-2</v>
      </c>
      <c r="H67" s="16"/>
      <c r="I67" s="10">
        <f t="shared" si="37"/>
        <v>2.1527777777777035E-2</v>
      </c>
      <c r="J67" s="16"/>
      <c r="K67" s="16"/>
      <c r="L67" s="16">
        <v>212</v>
      </c>
      <c r="M67" s="15">
        <v>0.75499999999999901</v>
      </c>
      <c r="N67" s="15">
        <v>0.84527777777777668</v>
      </c>
      <c r="O67" s="15">
        <f t="shared" si="38"/>
        <v>9.0277777777777679E-2</v>
      </c>
      <c r="P67" s="16"/>
      <c r="Q67" s="10">
        <f>U67-N67</f>
        <v>2.9722222222223316E-2</v>
      </c>
      <c r="R67" s="16"/>
      <c r="S67" s="13"/>
      <c r="T67" s="16">
        <v>205</v>
      </c>
      <c r="U67" s="20">
        <v>0.875</v>
      </c>
      <c r="V67" s="20">
        <v>0.89930555555555547</v>
      </c>
      <c r="W67" s="20">
        <f>V67-U67</f>
        <v>2.4305555555555469E-2</v>
      </c>
      <c r="X67" s="16" t="s">
        <v>100</v>
      </c>
      <c r="Y67" s="16"/>
      <c r="Z67" s="16"/>
      <c r="AA67" s="16"/>
      <c r="AB67" s="16"/>
      <c r="AC67" s="16"/>
      <c r="AD67" s="16"/>
      <c r="AE67" s="16"/>
      <c r="AF67" s="16"/>
      <c r="AG67" s="10">
        <v>0.90972222222222221</v>
      </c>
      <c r="AH67" s="9" t="s">
        <v>19</v>
      </c>
      <c r="AI67" s="14">
        <v>149</v>
      </c>
      <c r="AJ67" s="10">
        <f t="shared" si="39"/>
        <v>0.20833333333333326</v>
      </c>
      <c r="AK67" s="15">
        <f t="shared" si="40"/>
        <v>0.28125</v>
      </c>
      <c r="AL67" s="10">
        <f t="shared" si="41"/>
        <v>5.1250000000000351E-2</v>
      </c>
      <c r="AM67" s="15"/>
      <c r="AN67" s="9" t="s">
        <v>101</v>
      </c>
      <c r="AP67" s="17"/>
      <c r="AQ67" s="17"/>
      <c r="AR67" s="17"/>
      <c r="AS67" s="17"/>
      <c r="AT67" s="18"/>
    </row>
    <row r="68" spans="1:46" s="8" customFormat="1" ht="21.75" customHeight="1" x14ac:dyDescent="0.25">
      <c r="A68" s="34">
        <v>58</v>
      </c>
      <c r="B68" s="10">
        <v>0.63541666666666663</v>
      </c>
      <c r="C68" s="16" t="s">
        <v>36</v>
      </c>
      <c r="D68" s="16">
        <v>212</v>
      </c>
      <c r="E68" s="15">
        <v>0.64858796296296295</v>
      </c>
      <c r="F68" s="15">
        <v>0.66194444444444445</v>
      </c>
      <c r="G68" s="15">
        <f t="shared" si="36"/>
        <v>1.3356481481481497E-2</v>
      </c>
      <c r="H68" s="16"/>
      <c r="I68" s="10">
        <f t="shared" si="37"/>
        <v>2.2222222222221477E-2</v>
      </c>
      <c r="J68" s="16"/>
      <c r="K68" s="16"/>
      <c r="L68" s="16">
        <v>208</v>
      </c>
      <c r="M68" s="15">
        <v>0.68416666666666592</v>
      </c>
      <c r="N68" s="15">
        <v>0.77583333333333249</v>
      </c>
      <c r="O68" s="15">
        <f t="shared" si="38"/>
        <v>9.1666666666666563E-2</v>
      </c>
      <c r="P68" s="16"/>
      <c r="Q68" s="10">
        <f>U68-N68</f>
        <v>2.0833333333335702E-2</v>
      </c>
      <c r="R68" s="16"/>
      <c r="S68" s="16"/>
      <c r="T68" s="16">
        <v>215</v>
      </c>
      <c r="U68" s="15">
        <v>0.79666666666666819</v>
      </c>
      <c r="V68" s="15">
        <v>0.8869444444444432</v>
      </c>
      <c r="W68" s="15">
        <v>9.0277777777775015E-2</v>
      </c>
      <c r="X68" s="16"/>
      <c r="Y68" s="16"/>
      <c r="Z68" s="16"/>
      <c r="AA68" s="16"/>
      <c r="AB68" s="16"/>
      <c r="AC68" s="16"/>
      <c r="AD68" s="16"/>
      <c r="AE68" s="16"/>
      <c r="AF68" s="16"/>
      <c r="AG68" s="10">
        <v>0.89583333333333337</v>
      </c>
      <c r="AH68" s="9" t="s">
        <v>19</v>
      </c>
      <c r="AI68" s="14">
        <v>145.51</v>
      </c>
      <c r="AJ68" s="10">
        <f t="shared" si="39"/>
        <v>0.19530092592592307</v>
      </c>
      <c r="AK68" s="15">
        <f t="shared" si="40"/>
        <v>0.26041666666666674</v>
      </c>
      <c r="AL68" s="10">
        <f t="shared" si="41"/>
        <v>4.3055555555557179E-2</v>
      </c>
      <c r="AM68" s="15"/>
      <c r="AN68" s="16" t="s">
        <v>102</v>
      </c>
      <c r="AP68" s="17"/>
      <c r="AQ68" s="17"/>
      <c r="AR68" s="17"/>
      <c r="AS68" s="17"/>
      <c r="AT68" s="18"/>
    </row>
    <row r="69" spans="1:46" s="8" customFormat="1" ht="21.75" customHeight="1" x14ac:dyDescent="0.25">
      <c r="A69" s="9">
        <v>59</v>
      </c>
      <c r="B69" s="10">
        <v>0.64583333333333326</v>
      </c>
      <c r="C69" s="16" t="s">
        <v>39</v>
      </c>
      <c r="D69" s="27">
        <v>223</v>
      </c>
      <c r="E69" s="15">
        <v>0.65625</v>
      </c>
      <c r="F69" s="15">
        <v>0.75152777777777702</v>
      </c>
      <c r="G69" s="15">
        <f t="shared" si="36"/>
        <v>9.5277777777777017E-2</v>
      </c>
      <c r="H69" s="16"/>
      <c r="I69" s="10">
        <f t="shared" si="37"/>
        <v>2.0833333333333481E-2</v>
      </c>
      <c r="J69" s="16"/>
      <c r="K69" s="16"/>
      <c r="L69" s="27">
        <v>209</v>
      </c>
      <c r="M69" s="15">
        <v>0.7723611111111105</v>
      </c>
      <c r="N69" s="15">
        <v>0.87847222222222221</v>
      </c>
      <c r="O69" s="15">
        <f t="shared" si="38"/>
        <v>0.10611111111111171</v>
      </c>
      <c r="P69" s="38" t="s">
        <v>30</v>
      </c>
      <c r="Q69" s="10"/>
      <c r="R69" s="16"/>
      <c r="S69" s="13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0">
        <v>0.89583333333333337</v>
      </c>
      <c r="AH69" s="9" t="s">
        <v>68</v>
      </c>
      <c r="AI69" s="14">
        <v>89.34</v>
      </c>
      <c r="AJ69" s="10">
        <f t="shared" si="39"/>
        <v>0.20138888888888873</v>
      </c>
      <c r="AK69" s="15">
        <f t="shared" si="40"/>
        <v>0.25000000000000011</v>
      </c>
      <c r="AL69" s="10">
        <f t="shared" si="41"/>
        <v>2.0833333333333481E-2</v>
      </c>
      <c r="AM69" s="15"/>
      <c r="AN69" s="9" t="s">
        <v>103</v>
      </c>
      <c r="AP69" s="17"/>
      <c r="AQ69" s="17"/>
      <c r="AR69" s="17"/>
      <c r="AS69" s="17"/>
      <c r="AT69" s="18"/>
    </row>
    <row r="70" spans="1:46" s="8" customFormat="1" ht="21.75" customHeight="1" x14ac:dyDescent="0.25">
      <c r="A70" s="29">
        <v>60</v>
      </c>
      <c r="B70" s="10">
        <v>0.64930555555555547</v>
      </c>
      <c r="C70" s="16" t="s">
        <v>39</v>
      </c>
      <c r="D70" s="27">
        <v>222</v>
      </c>
      <c r="E70" s="15">
        <v>0.65972222222222221</v>
      </c>
      <c r="F70" s="15">
        <v>0.75847222222222166</v>
      </c>
      <c r="G70" s="15">
        <f t="shared" si="36"/>
        <v>9.8749999999999449E-2</v>
      </c>
      <c r="H70" s="16"/>
      <c r="I70" s="10">
        <f t="shared" si="37"/>
        <v>2.083333333333337E-2</v>
      </c>
      <c r="J70" s="16"/>
      <c r="K70" s="16"/>
      <c r="L70" s="27">
        <v>216</v>
      </c>
      <c r="M70" s="15">
        <v>0.77930555555555503</v>
      </c>
      <c r="N70" s="15">
        <v>0.88541666666666663</v>
      </c>
      <c r="O70" s="15">
        <f t="shared" si="38"/>
        <v>0.1061111111111116</v>
      </c>
      <c r="P70" s="16" t="s">
        <v>30</v>
      </c>
      <c r="Q70" s="10"/>
      <c r="R70" s="16"/>
      <c r="S70" s="13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0">
        <v>0.89583333333333337</v>
      </c>
      <c r="AH70" s="9" t="s">
        <v>68</v>
      </c>
      <c r="AI70" s="14">
        <v>89.34</v>
      </c>
      <c r="AJ70" s="10">
        <f t="shared" si="39"/>
        <v>0.20486111111111105</v>
      </c>
      <c r="AK70" s="15">
        <f t="shared" si="40"/>
        <v>0.2465277777777779</v>
      </c>
      <c r="AL70" s="10">
        <f t="shared" si="41"/>
        <v>2.083333333333337E-2</v>
      </c>
      <c r="AM70" s="15"/>
      <c r="AN70" s="9" t="s">
        <v>104</v>
      </c>
      <c r="AP70" s="17"/>
      <c r="AQ70" s="17"/>
      <c r="AR70" s="17"/>
      <c r="AS70" s="17"/>
      <c r="AT70" s="18"/>
    </row>
    <row r="71" spans="1:46" s="8" customFormat="1" ht="21.75" customHeight="1" x14ac:dyDescent="0.25">
      <c r="A71" s="29">
        <v>61</v>
      </c>
      <c r="B71" s="10">
        <v>0.66666666666666663</v>
      </c>
      <c r="C71" s="16" t="s">
        <v>39</v>
      </c>
      <c r="D71" s="27">
        <v>216</v>
      </c>
      <c r="E71" s="15">
        <v>0.68055555555555547</v>
      </c>
      <c r="F71" s="15">
        <v>0.77930555555555503</v>
      </c>
      <c r="G71" s="15">
        <f t="shared" si="36"/>
        <v>9.874999999999956E-2</v>
      </c>
      <c r="H71" s="16"/>
      <c r="I71" s="10">
        <f t="shared" si="37"/>
        <v>2.0833333333333037E-2</v>
      </c>
      <c r="J71" s="16"/>
      <c r="K71" s="16"/>
      <c r="L71" s="27">
        <v>206</v>
      </c>
      <c r="M71" s="15">
        <v>0.80013888888888807</v>
      </c>
      <c r="N71" s="15">
        <v>0.86993055555555454</v>
      </c>
      <c r="O71" s="15">
        <f t="shared" si="38"/>
        <v>6.9791666666666474E-2</v>
      </c>
      <c r="P71" s="16"/>
      <c r="Q71" s="10">
        <f>U71-N71</f>
        <v>2.2430555555556619E-2</v>
      </c>
      <c r="R71" s="16"/>
      <c r="S71" s="16"/>
      <c r="T71" s="16">
        <v>217</v>
      </c>
      <c r="U71" s="15">
        <v>0.89236111111111116</v>
      </c>
      <c r="V71" s="20">
        <v>0.91249999999999998</v>
      </c>
      <c r="W71" s="15">
        <f>MOD(V71-U71,1)</f>
        <v>2.0138888888888817E-2</v>
      </c>
      <c r="X71" s="16" t="s">
        <v>32</v>
      </c>
      <c r="Y71" s="16"/>
      <c r="Z71" s="16"/>
      <c r="AA71" s="16"/>
      <c r="AB71" s="16"/>
      <c r="AC71" s="16"/>
      <c r="AD71" s="16"/>
      <c r="AE71" s="16"/>
      <c r="AF71" s="16"/>
      <c r="AG71" s="10">
        <v>0.89583333333333337</v>
      </c>
      <c r="AH71" s="9" t="s">
        <v>19</v>
      </c>
      <c r="AI71" s="14">
        <v>102.42</v>
      </c>
      <c r="AJ71" s="10">
        <f t="shared" si="39"/>
        <v>0.18868055555555485</v>
      </c>
      <c r="AK71" s="15">
        <f t="shared" si="40"/>
        <v>0.22916666666666674</v>
      </c>
      <c r="AL71" s="10">
        <f t="shared" si="41"/>
        <v>4.3263888888889657E-2</v>
      </c>
      <c r="AM71" s="15"/>
      <c r="AN71" s="16" t="s">
        <v>105</v>
      </c>
      <c r="AP71" s="17"/>
      <c r="AQ71" s="17"/>
      <c r="AR71" s="17"/>
      <c r="AS71" s="17"/>
      <c r="AT71" s="18"/>
    </row>
    <row r="72" spans="1:46" s="8" customFormat="1" ht="21.75" customHeight="1" x14ac:dyDescent="0.25">
      <c r="A72" s="9">
        <v>62</v>
      </c>
      <c r="B72" s="10">
        <v>0.67708333333333326</v>
      </c>
      <c r="C72" s="16" t="s">
        <v>39</v>
      </c>
      <c r="D72" s="27">
        <v>218</v>
      </c>
      <c r="E72" s="15">
        <v>0.6875</v>
      </c>
      <c r="F72" s="15">
        <v>0.78611111111111109</v>
      </c>
      <c r="G72" s="15">
        <f t="shared" si="36"/>
        <v>9.8611111111111094E-2</v>
      </c>
      <c r="H72" s="16"/>
      <c r="I72" s="10">
        <f t="shared" si="37"/>
        <v>2.0972222222221393E-2</v>
      </c>
      <c r="J72" s="16"/>
      <c r="K72" s="16"/>
      <c r="L72" s="27">
        <v>217</v>
      </c>
      <c r="M72" s="15">
        <v>0.80708333333333249</v>
      </c>
      <c r="N72" s="15">
        <v>0.89236111111111116</v>
      </c>
      <c r="O72" s="15">
        <f t="shared" si="38"/>
        <v>8.5277777777778674E-2</v>
      </c>
      <c r="P72" s="16"/>
      <c r="Q72" s="10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0">
        <v>0.89583333333333326</v>
      </c>
      <c r="AH72" s="9" t="s">
        <v>19</v>
      </c>
      <c r="AI72" s="14">
        <v>102.12</v>
      </c>
      <c r="AJ72" s="10">
        <f t="shared" si="39"/>
        <v>0.18388888888888977</v>
      </c>
      <c r="AK72" s="15">
        <f t="shared" si="40"/>
        <v>0.21875</v>
      </c>
      <c r="AL72" s="10">
        <f t="shared" si="41"/>
        <v>2.0972222222221393E-2</v>
      </c>
      <c r="AM72" s="15"/>
      <c r="AN72" s="16" t="s">
        <v>106</v>
      </c>
      <c r="AP72" s="17"/>
      <c r="AQ72" s="17"/>
      <c r="AR72" s="17"/>
      <c r="AS72" s="17"/>
      <c r="AT72" s="18"/>
    </row>
    <row r="73" spans="1:46" s="8" customFormat="1" ht="21.75" customHeight="1" x14ac:dyDescent="0.25">
      <c r="A73" s="9"/>
      <c r="B73" s="10"/>
      <c r="C73" s="16"/>
      <c r="D73" s="27"/>
      <c r="E73" s="15"/>
      <c r="F73" s="15"/>
      <c r="G73" s="15"/>
      <c r="H73" s="16"/>
      <c r="I73" s="10"/>
      <c r="J73" s="16"/>
      <c r="K73" s="16"/>
      <c r="L73" s="27"/>
      <c r="M73" s="15"/>
      <c r="N73" s="15"/>
      <c r="O73" s="15"/>
      <c r="P73" s="16"/>
      <c r="Q73" s="10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0"/>
      <c r="AH73" s="9"/>
      <c r="AI73" s="16"/>
      <c r="AJ73" s="10"/>
      <c r="AK73" s="15"/>
      <c r="AL73" s="10"/>
      <c r="AM73" s="15"/>
      <c r="AN73" s="16"/>
    </row>
    <row r="74" spans="1:46" s="8" customFormat="1" ht="21.75" customHeight="1" x14ac:dyDescent="0.25">
      <c r="A74" s="16"/>
      <c r="B74" s="10"/>
      <c r="C74" s="16"/>
      <c r="D74" s="16"/>
      <c r="E74" s="15"/>
      <c r="F74" s="15"/>
      <c r="G74" s="15"/>
      <c r="H74" s="16"/>
      <c r="I74" s="10"/>
      <c r="J74" s="16"/>
      <c r="K74" s="19" t="s">
        <v>107</v>
      </c>
      <c r="L74" s="16"/>
      <c r="M74" s="15"/>
      <c r="N74" s="15"/>
      <c r="O74" s="25"/>
      <c r="P74" s="16"/>
      <c r="Q74" s="10"/>
      <c r="R74" s="16"/>
      <c r="S74" s="16"/>
      <c r="T74" s="16"/>
      <c r="U74" s="16"/>
      <c r="V74" s="16"/>
      <c r="W74" s="42" t="s">
        <v>108</v>
      </c>
      <c r="AA74" s="43" t="s">
        <v>10</v>
      </c>
      <c r="AB74" s="43" t="s">
        <v>4</v>
      </c>
      <c r="AC74" s="11" t="s">
        <v>5</v>
      </c>
      <c r="AD74" s="11" t="s">
        <v>6</v>
      </c>
      <c r="AE74" s="11" t="s">
        <v>7</v>
      </c>
      <c r="AF74" s="11" t="s">
        <v>8</v>
      </c>
      <c r="AG74" s="11" t="s">
        <v>12</v>
      </c>
      <c r="AH74" s="11" t="s">
        <v>13</v>
      </c>
      <c r="AI74" s="16"/>
      <c r="AJ74" s="10"/>
      <c r="AK74" s="15"/>
      <c r="AL74" s="10"/>
      <c r="AM74" s="15"/>
      <c r="AN74" s="16"/>
    </row>
    <row r="75" spans="1:46" s="8" customFormat="1" ht="21.75" customHeight="1" x14ac:dyDescent="0.25">
      <c r="A75" s="9">
        <v>63</v>
      </c>
      <c r="B75" s="10">
        <v>0.88541666666666663</v>
      </c>
      <c r="C75" s="16" t="s">
        <v>80</v>
      </c>
      <c r="D75" s="16">
        <v>207</v>
      </c>
      <c r="E75" s="25">
        <v>0.89722222222222225</v>
      </c>
      <c r="F75" s="15">
        <v>1.0416666666666666E-2</v>
      </c>
      <c r="G75" s="15">
        <f t="shared" ref="G75:G89" si="42">MOD(F75-E75,1)</f>
        <v>0.11319444444444438</v>
      </c>
      <c r="H75" s="44" t="s">
        <v>109</v>
      </c>
      <c r="I75" s="15">
        <f>MOD(AC75-F75,1)</f>
        <v>0.15972222222222221</v>
      </c>
      <c r="J75" s="16"/>
      <c r="K75" s="16">
        <v>75</v>
      </c>
      <c r="L75" s="16"/>
      <c r="M75" s="15"/>
      <c r="N75" s="15"/>
      <c r="O75" s="15"/>
      <c r="P75" s="16"/>
      <c r="Q75" s="15"/>
      <c r="R75" s="16"/>
      <c r="S75" s="16"/>
      <c r="T75" s="16"/>
      <c r="U75" s="16"/>
      <c r="V75" s="16"/>
      <c r="W75" s="16">
        <v>52</v>
      </c>
      <c r="X75" s="16"/>
      <c r="Y75" s="16"/>
      <c r="Z75" s="16"/>
      <c r="AA75" s="16" t="s">
        <v>109</v>
      </c>
      <c r="AB75" s="16">
        <v>210</v>
      </c>
      <c r="AC75" s="16">
        <v>0.17013888888888887</v>
      </c>
      <c r="AD75" s="16">
        <v>0.27083333333333331</v>
      </c>
      <c r="AE75" s="16">
        <f>MOD(AD75-AC75,1)</f>
        <v>0.10069444444444445</v>
      </c>
      <c r="AF75" s="16" t="s">
        <v>27</v>
      </c>
      <c r="AG75" s="16">
        <v>0.27430555555555552</v>
      </c>
      <c r="AH75" s="16" t="s">
        <v>37</v>
      </c>
      <c r="AI75" s="16"/>
      <c r="AJ75" s="16"/>
      <c r="AK75" s="15">
        <f>MOD((AG75-B75),1)</f>
        <v>0.38888888888888884</v>
      </c>
      <c r="AL75" s="10">
        <f>I75</f>
        <v>0.15972222222222221</v>
      </c>
      <c r="AM75" s="15"/>
      <c r="AN75" s="16" t="s">
        <v>111</v>
      </c>
    </row>
    <row r="76" spans="1:46" s="8" customFormat="1" ht="21.75" customHeight="1" x14ac:dyDescent="0.25">
      <c r="A76" s="9">
        <v>64</v>
      </c>
      <c r="B76" s="10">
        <v>0.89583333333333337</v>
      </c>
      <c r="C76" s="16" t="s">
        <v>112</v>
      </c>
      <c r="D76" s="16">
        <v>213</v>
      </c>
      <c r="E76" s="15">
        <v>0.90708333333333246</v>
      </c>
      <c r="F76" s="15">
        <v>0.99652777777777779</v>
      </c>
      <c r="G76" s="15">
        <f t="shared" si="42"/>
        <v>8.9444444444445326E-2</v>
      </c>
      <c r="H76" s="44" t="s">
        <v>113</v>
      </c>
      <c r="I76" s="15">
        <f>MOD(AC76-F76,1)</f>
        <v>0.15277777777777779</v>
      </c>
      <c r="J76" s="16"/>
      <c r="K76" s="16">
        <v>55</v>
      </c>
      <c r="L76" s="16"/>
      <c r="M76" s="15"/>
      <c r="N76" s="15"/>
      <c r="O76" s="15"/>
      <c r="P76" s="16"/>
      <c r="Q76" s="15"/>
      <c r="R76" s="16"/>
      <c r="W76" s="45">
        <v>65</v>
      </c>
      <c r="X76" s="45"/>
      <c r="Y76" s="46" t="s">
        <v>115</v>
      </c>
      <c r="Z76" s="16"/>
      <c r="AA76" s="46" t="s">
        <v>113</v>
      </c>
      <c r="AB76" s="16">
        <v>207</v>
      </c>
      <c r="AC76" s="15">
        <v>0.14930555555555555</v>
      </c>
      <c r="AD76" s="25">
        <v>0.27777777777777779</v>
      </c>
      <c r="AE76" s="15">
        <f>MOD(AD76-AC76,1)</f>
        <v>0.12847222222222224</v>
      </c>
      <c r="AF76" s="16" t="s">
        <v>116</v>
      </c>
      <c r="AG76" s="10">
        <v>0.28125</v>
      </c>
      <c r="AH76" s="9" t="s">
        <v>81</v>
      </c>
      <c r="AK76" s="15">
        <f>MOD((AG76-B76),1)</f>
        <v>0.38541666666666663</v>
      </c>
      <c r="AL76" s="10">
        <f>I76</f>
        <v>0.15277777777777779</v>
      </c>
      <c r="AM76" s="15"/>
      <c r="AN76" s="16" t="s">
        <v>114</v>
      </c>
    </row>
    <row r="77" spans="1:46" s="8" customFormat="1" ht="21.75" customHeight="1" x14ac:dyDescent="0.25">
      <c r="A77" s="9">
        <v>65</v>
      </c>
      <c r="B77" s="10">
        <v>0.89583333333333337</v>
      </c>
      <c r="C77" s="16" t="s">
        <v>36</v>
      </c>
      <c r="D77" s="16">
        <v>203</v>
      </c>
      <c r="E77" s="15">
        <v>0.90833333333333333</v>
      </c>
      <c r="F77" s="15">
        <v>6.9444444444444441E-3</v>
      </c>
      <c r="G77" s="15">
        <f t="shared" si="42"/>
        <v>9.8611111111111094E-2</v>
      </c>
      <c r="H77" s="44" t="s">
        <v>80</v>
      </c>
      <c r="I77" s="15">
        <f>MOD(AC77-F77,1)</f>
        <v>0.1701388888888889</v>
      </c>
      <c r="J77" s="16"/>
      <c r="K77" s="16">
        <v>58</v>
      </c>
      <c r="L77" s="16"/>
      <c r="M77" s="15"/>
      <c r="N77" s="15"/>
      <c r="O77" s="15"/>
      <c r="P77" s="16"/>
      <c r="Q77" s="15"/>
      <c r="R77" s="15"/>
      <c r="S77" s="15"/>
      <c r="T77" s="15"/>
      <c r="U77" s="15"/>
      <c r="V77" s="15"/>
      <c r="W77" s="15">
        <v>47</v>
      </c>
      <c r="X77" s="15"/>
      <c r="Y77" s="15"/>
      <c r="Z77" s="15"/>
      <c r="AA77" s="15" t="s">
        <v>80</v>
      </c>
      <c r="AB77" s="15">
        <v>211</v>
      </c>
      <c r="AC77" s="15">
        <v>0.17708333333333334</v>
      </c>
      <c r="AD77" s="15">
        <v>0.26874999999999999</v>
      </c>
      <c r="AE77" s="15">
        <f>MOD(AD77-AC77,1)</f>
        <v>9.1666666666666646E-2</v>
      </c>
      <c r="AF77" s="15" t="s">
        <v>32</v>
      </c>
      <c r="AG77" s="15">
        <v>0.27083333333333331</v>
      </c>
      <c r="AH77" s="15" t="s">
        <v>19</v>
      </c>
      <c r="AI77" s="15"/>
      <c r="AJ77" s="15"/>
      <c r="AK77" s="15">
        <f>MOD((AG77-B77),1)</f>
        <v>0.375</v>
      </c>
      <c r="AL77" s="10">
        <f>I77</f>
        <v>0.1701388888888889</v>
      </c>
      <c r="AM77" s="15"/>
      <c r="AN77" s="16" t="s">
        <v>117</v>
      </c>
    </row>
    <row r="78" spans="1:46" s="8" customFormat="1" ht="21.75" customHeight="1" x14ac:dyDescent="0.25">
      <c r="A78" s="9">
        <v>66</v>
      </c>
      <c r="B78" s="10">
        <v>0.89583333333333337</v>
      </c>
      <c r="C78" s="16" t="s">
        <v>51</v>
      </c>
      <c r="D78" s="16">
        <v>212</v>
      </c>
      <c r="E78" s="15">
        <v>0.90833333333333333</v>
      </c>
      <c r="F78" s="15">
        <v>1.0416666666666666E-2</v>
      </c>
      <c r="G78" s="15">
        <f t="shared" si="42"/>
        <v>0.1020833333333333</v>
      </c>
      <c r="H78" s="44" t="s">
        <v>118</v>
      </c>
      <c r="I78" s="15">
        <f>MOD(AC78-F78,1)</f>
        <v>0.14583333333333334</v>
      </c>
      <c r="J78" s="16"/>
      <c r="K78" s="16">
        <v>62</v>
      </c>
      <c r="L78" s="16"/>
      <c r="M78" s="15"/>
      <c r="N78" s="15"/>
      <c r="O78" s="15"/>
      <c r="P78" s="16"/>
      <c r="Q78" s="15"/>
      <c r="R78" s="16"/>
      <c r="W78" s="16">
        <v>51</v>
      </c>
      <c r="X78" s="45"/>
      <c r="Y78" s="46" t="s">
        <v>120</v>
      </c>
      <c r="Z78" s="16"/>
      <c r="AA78" s="46" t="s">
        <v>118</v>
      </c>
      <c r="AB78" s="16">
        <v>209</v>
      </c>
      <c r="AC78" s="15">
        <v>0.15625</v>
      </c>
      <c r="AD78" s="25">
        <v>0.26041666666666669</v>
      </c>
      <c r="AE78" s="15">
        <f>MOD(AD78-AC78,1)</f>
        <v>0.10416666666666669</v>
      </c>
      <c r="AF78" s="16" t="s">
        <v>121</v>
      </c>
      <c r="AG78" s="10">
        <v>0.2638888888888889</v>
      </c>
      <c r="AH78" s="9" t="s">
        <v>37</v>
      </c>
      <c r="AK78" s="15">
        <f>MOD((AG78-B78),1)</f>
        <v>0.36805555555555558</v>
      </c>
      <c r="AL78" s="10">
        <f>I78</f>
        <v>0.14583333333333334</v>
      </c>
      <c r="AM78" s="15"/>
      <c r="AN78" s="16" t="s">
        <v>119</v>
      </c>
    </row>
    <row r="79" spans="1:46" s="8" customFormat="1" ht="21.75" customHeight="1" x14ac:dyDescent="0.25">
      <c r="A79" s="9">
        <v>67</v>
      </c>
      <c r="B79" s="10">
        <v>0.89583333333333337</v>
      </c>
      <c r="C79" s="16" t="s">
        <v>36</v>
      </c>
      <c r="D79" s="16">
        <v>220</v>
      </c>
      <c r="E79" s="15">
        <v>0.90416666666666667</v>
      </c>
      <c r="F79" s="15">
        <v>0.99305555555555547</v>
      </c>
      <c r="G79" s="15">
        <f t="shared" si="42"/>
        <v>8.8888888888888795E-2</v>
      </c>
      <c r="H79" s="44" t="s">
        <v>51</v>
      </c>
      <c r="I79" s="15">
        <f>MOD(AC79-F79,1)</f>
        <v>0.15972222222222232</v>
      </c>
      <c r="J79" s="16"/>
      <c r="K79" s="16">
        <v>58</v>
      </c>
      <c r="L79" s="16"/>
      <c r="M79" s="15"/>
      <c r="N79" s="15"/>
      <c r="O79" s="15"/>
      <c r="P79" s="16"/>
      <c r="Q79" s="15"/>
      <c r="R79" s="15"/>
      <c r="S79" s="15"/>
      <c r="T79" s="15"/>
      <c r="U79" s="15"/>
      <c r="V79" s="15"/>
      <c r="W79" s="15">
        <v>34</v>
      </c>
      <c r="X79" s="15"/>
      <c r="Y79" s="15" t="s">
        <v>123</v>
      </c>
      <c r="Z79" s="15"/>
      <c r="AA79" s="15" t="s">
        <v>51</v>
      </c>
      <c r="AB79" s="15">
        <v>208</v>
      </c>
      <c r="AC79" s="15">
        <v>0.15277777777777776</v>
      </c>
      <c r="AD79" s="15">
        <v>0.23750000000000002</v>
      </c>
      <c r="AE79" s="15">
        <f>MOD(AD79-AC79,1)</f>
        <v>8.4722222222222254E-2</v>
      </c>
      <c r="AF79" s="15" t="s">
        <v>49</v>
      </c>
      <c r="AG79" s="15">
        <v>0.25</v>
      </c>
      <c r="AH79" s="15" t="s">
        <v>19</v>
      </c>
      <c r="AI79" s="15"/>
      <c r="AJ79" s="15"/>
      <c r="AK79" s="15">
        <f>MOD((AG79-B79),1)</f>
        <v>0.35416666666666663</v>
      </c>
      <c r="AL79" s="10">
        <f>I79</f>
        <v>0.15972222222222232</v>
      </c>
      <c r="AM79" s="15"/>
      <c r="AN79" s="16" t="s">
        <v>122</v>
      </c>
    </row>
    <row r="80" spans="1:46" s="8" customFormat="1" ht="21.75" customHeight="1" x14ac:dyDescent="0.25">
      <c r="A80" s="16"/>
      <c r="B80" s="10"/>
      <c r="C80" s="16"/>
      <c r="D80" s="16"/>
      <c r="E80" s="16"/>
      <c r="F80" s="16"/>
      <c r="G80" s="15"/>
      <c r="H80" s="44"/>
      <c r="I80" s="15"/>
      <c r="J80" s="16"/>
      <c r="K80" s="16"/>
      <c r="L80" s="16"/>
      <c r="M80" s="15"/>
      <c r="N80" s="15"/>
      <c r="O80" s="16"/>
      <c r="P80" s="16"/>
      <c r="Q80" s="16"/>
      <c r="R80" s="16"/>
      <c r="W80" s="16"/>
      <c r="X80" s="45"/>
      <c r="Y80" s="46"/>
      <c r="Z80" s="16"/>
      <c r="AA80" s="46"/>
      <c r="AB80" s="16"/>
      <c r="AC80" s="16"/>
      <c r="AD80" s="16"/>
      <c r="AE80" s="16"/>
      <c r="AF80" s="16"/>
      <c r="AG80" s="10"/>
      <c r="AH80" s="9"/>
      <c r="AK80" s="15"/>
      <c r="AL80" s="10"/>
      <c r="AM80" s="15"/>
      <c r="AN80" s="16"/>
    </row>
    <row r="81" spans="1:41" s="8" customFormat="1" ht="21.75" customHeight="1" x14ac:dyDescent="0.25">
      <c r="A81" s="9">
        <v>68</v>
      </c>
      <c r="B81" s="10">
        <v>0.87847222222222221</v>
      </c>
      <c r="C81" s="16" t="s">
        <v>27</v>
      </c>
      <c r="D81" s="16">
        <v>221</v>
      </c>
      <c r="E81" s="25">
        <v>0.89027777777777783</v>
      </c>
      <c r="F81" s="15">
        <v>0.96527777777777779</v>
      </c>
      <c r="G81" s="15">
        <f t="shared" si="42"/>
        <v>7.4999999999999956E-2</v>
      </c>
      <c r="H81" s="44" t="s">
        <v>124</v>
      </c>
      <c r="I81" s="15">
        <f t="shared" ref="I81:I89" si="43">MOD(AC81-F81,1)</f>
        <v>0.30555555555555558</v>
      </c>
      <c r="J81" s="16"/>
      <c r="K81" s="16">
        <v>51</v>
      </c>
      <c r="L81" s="19"/>
      <c r="M81" s="15"/>
      <c r="N81" s="15"/>
      <c r="O81" s="15"/>
      <c r="P81" s="16"/>
      <c r="Q81" s="15"/>
      <c r="R81" s="15"/>
      <c r="S81" s="15"/>
      <c r="T81" s="15"/>
      <c r="U81" s="15"/>
      <c r="V81" s="15"/>
      <c r="W81" s="15">
        <v>7</v>
      </c>
      <c r="X81" s="15"/>
      <c r="Y81" s="15"/>
      <c r="Z81" s="15"/>
      <c r="AA81" s="15" t="s">
        <v>124</v>
      </c>
      <c r="AB81" s="15">
        <v>217</v>
      </c>
      <c r="AC81" s="15">
        <v>0.27083333333333331</v>
      </c>
      <c r="AD81" s="15">
        <v>0.31041666666666612</v>
      </c>
      <c r="AE81" s="15">
        <f t="shared" ref="AE81:AE89" si="44">MOD(AD81-AC81,1)</f>
        <v>3.9583333333332804E-2</v>
      </c>
      <c r="AF81" s="15" t="s">
        <v>32</v>
      </c>
      <c r="AG81" s="15">
        <v>0.3125</v>
      </c>
      <c r="AH81" s="15" t="s">
        <v>19</v>
      </c>
      <c r="AI81" s="15"/>
      <c r="AJ81" s="15"/>
      <c r="AK81" s="15">
        <f t="shared" ref="AK81:AK89" si="45">MOD((AG81-B81),1)</f>
        <v>0.43402777777777779</v>
      </c>
      <c r="AL81" s="10">
        <f t="shared" ref="AL81:AL89" si="46">I81</f>
        <v>0.30555555555555558</v>
      </c>
      <c r="AM81" s="15"/>
      <c r="AN81" s="9" t="s">
        <v>125</v>
      </c>
    </row>
    <row r="82" spans="1:41" s="8" customFormat="1" ht="21.75" customHeight="1" x14ac:dyDescent="0.25">
      <c r="A82" s="9">
        <v>69</v>
      </c>
      <c r="B82" s="10">
        <v>0.88541666666666674</v>
      </c>
      <c r="C82" s="16" t="s">
        <v>27</v>
      </c>
      <c r="D82" s="16">
        <v>208</v>
      </c>
      <c r="E82" s="25">
        <v>0.89722222222222225</v>
      </c>
      <c r="F82" s="15">
        <v>6.9444444444444441E-3</v>
      </c>
      <c r="G82" s="15">
        <f t="shared" si="42"/>
        <v>0.10972222222222217</v>
      </c>
      <c r="H82" s="44" t="s">
        <v>126</v>
      </c>
      <c r="I82" s="15">
        <f t="shared" si="43"/>
        <v>0.22916666666666669</v>
      </c>
      <c r="J82" s="16"/>
      <c r="K82" s="16">
        <v>61</v>
      </c>
      <c r="L82" s="16"/>
      <c r="M82" s="15"/>
      <c r="N82" s="15"/>
      <c r="O82" s="15"/>
      <c r="P82" s="16"/>
      <c r="Q82" s="15"/>
      <c r="R82" s="16"/>
      <c r="W82" s="16">
        <v>29</v>
      </c>
      <c r="X82" s="45"/>
      <c r="Y82" s="46"/>
      <c r="Z82" s="16"/>
      <c r="AA82" s="16" t="s">
        <v>49</v>
      </c>
      <c r="AB82" s="19">
        <v>208</v>
      </c>
      <c r="AC82" s="25">
        <v>0.23611111111111113</v>
      </c>
      <c r="AD82" s="15">
        <v>0.28819444444444448</v>
      </c>
      <c r="AE82" s="15">
        <f t="shared" si="44"/>
        <v>5.2083333333333343E-2</v>
      </c>
      <c r="AF82" s="16" t="s">
        <v>116</v>
      </c>
      <c r="AG82" s="10">
        <v>0.29166666666666669</v>
      </c>
      <c r="AH82" s="9" t="s">
        <v>81</v>
      </c>
      <c r="AK82" s="15">
        <f t="shared" si="45"/>
        <v>0.40625</v>
      </c>
      <c r="AL82" s="10">
        <f t="shared" si="46"/>
        <v>0.22916666666666669</v>
      </c>
      <c r="AM82" s="15"/>
      <c r="AN82" s="9" t="s">
        <v>127</v>
      </c>
    </row>
    <row r="83" spans="1:41" s="8" customFormat="1" ht="21.75" customHeight="1" x14ac:dyDescent="0.25">
      <c r="A83" s="9">
        <v>70</v>
      </c>
      <c r="B83" s="10">
        <v>0.88888888888888884</v>
      </c>
      <c r="C83" s="16" t="s">
        <v>32</v>
      </c>
      <c r="D83" s="16">
        <v>210</v>
      </c>
      <c r="E83" s="25">
        <v>0.89861111111111114</v>
      </c>
      <c r="F83" s="15">
        <v>0.99652777777777779</v>
      </c>
      <c r="G83" s="15">
        <f t="shared" si="42"/>
        <v>9.7916666666666652E-2</v>
      </c>
      <c r="H83" s="44" t="s">
        <v>128</v>
      </c>
      <c r="I83" s="15">
        <f t="shared" si="43"/>
        <v>0.14930555555555558</v>
      </c>
      <c r="J83" s="16"/>
      <c r="K83" s="16">
        <v>64</v>
      </c>
      <c r="L83" s="16"/>
      <c r="M83" s="15"/>
      <c r="N83" s="15"/>
      <c r="O83" s="15"/>
      <c r="P83" s="16"/>
      <c r="Q83" s="15"/>
      <c r="R83" s="15"/>
      <c r="S83" s="15"/>
      <c r="T83" s="15"/>
      <c r="U83" s="15"/>
      <c r="V83" s="15"/>
      <c r="W83" s="15">
        <v>59</v>
      </c>
      <c r="X83" s="15"/>
      <c r="Y83" s="15" t="s">
        <v>115</v>
      </c>
      <c r="Z83" s="15"/>
      <c r="AA83" s="15" t="s">
        <v>128</v>
      </c>
      <c r="AB83" s="15">
        <v>202</v>
      </c>
      <c r="AC83" s="15">
        <v>0.14583333333333334</v>
      </c>
      <c r="AD83" s="15">
        <v>0.26250000000000001</v>
      </c>
      <c r="AE83" s="15">
        <f t="shared" si="44"/>
        <v>0.11666666666666667</v>
      </c>
      <c r="AF83" s="15" t="s">
        <v>35</v>
      </c>
      <c r="AG83" s="15">
        <v>0.2673611111111111</v>
      </c>
      <c r="AH83" s="15" t="s">
        <v>19</v>
      </c>
      <c r="AI83" s="15"/>
      <c r="AJ83" s="15"/>
      <c r="AK83" s="15">
        <f t="shared" si="45"/>
        <v>0.37847222222222232</v>
      </c>
      <c r="AL83" s="10">
        <f t="shared" si="46"/>
        <v>0.14930555555555558</v>
      </c>
      <c r="AM83" s="15"/>
      <c r="AN83" s="9" t="s">
        <v>129</v>
      </c>
    </row>
    <row r="84" spans="1:41" s="8" customFormat="1" ht="21.75" customHeight="1" x14ac:dyDescent="0.25">
      <c r="A84" s="9">
        <v>71</v>
      </c>
      <c r="B84" s="10">
        <v>0.88888888888888884</v>
      </c>
      <c r="C84" s="16" t="s">
        <v>112</v>
      </c>
      <c r="D84" s="16">
        <v>202</v>
      </c>
      <c r="E84" s="15">
        <v>0.90083333333333304</v>
      </c>
      <c r="F84" s="15">
        <v>1.3888888888888888E-2</v>
      </c>
      <c r="G84" s="15">
        <f t="shared" si="42"/>
        <v>0.1130555555555558</v>
      </c>
      <c r="H84" s="44" t="s">
        <v>130</v>
      </c>
      <c r="I84" s="15">
        <f t="shared" si="43"/>
        <v>0.15972222222222224</v>
      </c>
      <c r="J84" s="16"/>
      <c r="K84" s="16">
        <v>75</v>
      </c>
      <c r="L84" s="16"/>
      <c r="M84" s="15"/>
      <c r="N84" s="15"/>
      <c r="O84" s="15"/>
      <c r="P84" s="16"/>
      <c r="Q84" s="15"/>
      <c r="R84" s="16"/>
      <c r="W84" s="16">
        <v>51</v>
      </c>
      <c r="X84" s="45"/>
      <c r="Y84" s="46"/>
      <c r="Z84" s="16"/>
      <c r="AA84" s="46" t="s">
        <v>130</v>
      </c>
      <c r="AB84" s="16">
        <v>204</v>
      </c>
      <c r="AC84" s="15">
        <v>0.17361111111111113</v>
      </c>
      <c r="AD84" s="15">
        <v>0.26944444444444443</v>
      </c>
      <c r="AE84" s="15">
        <f t="shared" si="44"/>
        <v>9.5833333333333298E-2</v>
      </c>
      <c r="AF84" s="16" t="s">
        <v>43</v>
      </c>
      <c r="AG84" s="10">
        <v>0.27430555555555552</v>
      </c>
      <c r="AH84" s="9" t="s">
        <v>37</v>
      </c>
      <c r="AK84" s="15">
        <f t="shared" si="45"/>
        <v>0.38541666666666674</v>
      </c>
      <c r="AL84" s="10">
        <f t="shared" si="46"/>
        <v>0.15972222222222224</v>
      </c>
      <c r="AM84" s="15"/>
      <c r="AN84" s="47" t="s">
        <v>131</v>
      </c>
    </row>
    <row r="85" spans="1:41" s="8" customFormat="1" ht="21.75" customHeight="1" x14ac:dyDescent="0.25">
      <c r="A85" s="9">
        <v>72</v>
      </c>
      <c r="B85" s="10">
        <v>0.89236111111111116</v>
      </c>
      <c r="C85" s="16" t="s">
        <v>27</v>
      </c>
      <c r="D85" s="16">
        <v>206</v>
      </c>
      <c r="E85" s="25">
        <v>0.90416666666666667</v>
      </c>
      <c r="F85" s="15">
        <v>1.0416666666666666E-2</v>
      </c>
      <c r="G85" s="15">
        <f t="shared" si="42"/>
        <v>0.10624999999999996</v>
      </c>
      <c r="H85" s="44" t="s">
        <v>132</v>
      </c>
      <c r="I85" s="15">
        <f t="shared" si="43"/>
        <v>0.1423611111111111</v>
      </c>
      <c r="J85" s="16"/>
      <c r="K85" s="16">
        <v>66</v>
      </c>
      <c r="L85" s="16"/>
      <c r="M85" s="15"/>
      <c r="N85" s="15"/>
      <c r="O85" s="15"/>
      <c r="P85" s="16"/>
      <c r="Q85" s="15"/>
      <c r="R85" s="15"/>
      <c r="S85" s="15"/>
      <c r="T85" s="15"/>
      <c r="U85" s="15"/>
      <c r="V85" s="15"/>
      <c r="W85" s="15">
        <v>58</v>
      </c>
      <c r="X85" s="15"/>
      <c r="Y85" s="15"/>
      <c r="Z85" s="15"/>
      <c r="AA85" s="15" t="s">
        <v>132</v>
      </c>
      <c r="AB85" s="15">
        <v>201</v>
      </c>
      <c r="AC85" s="15">
        <v>0.15277777777777776</v>
      </c>
      <c r="AD85" s="15">
        <v>0.27569444444444446</v>
      </c>
      <c r="AE85" s="15">
        <f t="shared" si="44"/>
        <v>0.1229166666666667</v>
      </c>
      <c r="AF85" s="15" t="s">
        <v>49</v>
      </c>
      <c r="AG85" s="15">
        <v>0.27777777777777779</v>
      </c>
      <c r="AH85" s="15" t="s">
        <v>19</v>
      </c>
      <c r="AI85" s="15"/>
      <c r="AJ85" s="15"/>
      <c r="AK85" s="15">
        <f t="shared" si="45"/>
        <v>0.38541666666666663</v>
      </c>
      <c r="AL85" s="10">
        <f t="shared" si="46"/>
        <v>0.1423611111111111</v>
      </c>
      <c r="AM85" s="15"/>
      <c r="AN85" s="9" t="s">
        <v>133</v>
      </c>
    </row>
    <row r="86" spans="1:41" s="8" customFormat="1" ht="21.75" customHeight="1" x14ac:dyDescent="0.25">
      <c r="A86" s="9">
        <v>73</v>
      </c>
      <c r="B86" s="10">
        <v>0.89583333333333337</v>
      </c>
      <c r="C86" s="16" t="s">
        <v>32</v>
      </c>
      <c r="D86" s="16">
        <v>215</v>
      </c>
      <c r="E86" s="25">
        <v>0.90555555555555556</v>
      </c>
      <c r="F86" s="15">
        <v>1.0416666666666666E-2</v>
      </c>
      <c r="G86" s="15">
        <f t="shared" si="42"/>
        <v>0.10486111111111107</v>
      </c>
      <c r="H86" s="44" t="s">
        <v>134</v>
      </c>
      <c r="I86" s="15">
        <f t="shared" si="43"/>
        <v>0.15625</v>
      </c>
      <c r="J86" s="16"/>
      <c r="K86" s="16">
        <v>64</v>
      </c>
      <c r="L86" s="16"/>
      <c r="M86" s="15"/>
      <c r="N86" s="15"/>
      <c r="O86" s="15"/>
      <c r="P86" s="16"/>
      <c r="Q86" s="15"/>
      <c r="R86" s="16"/>
      <c r="W86" s="16">
        <v>55</v>
      </c>
      <c r="X86" s="45"/>
      <c r="Y86" s="46"/>
      <c r="Z86" s="16"/>
      <c r="AA86" s="46" t="s">
        <v>136</v>
      </c>
      <c r="AB86" s="16">
        <v>205</v>
      </c>
      <c r="AC86" s="15">
        <v>0.16666666666666666</v>
      </c>
      <c r="AD86" s="15">
        <v>0.27847222222222223</v>
      </c>
      <c r="AE86" s="15">
        <f t="shared" si="44"/>
        <v>0.11180555555555557</v>
      </c>
      <c r="AF86" s="16" t="s">
        <v>36</v>
      </c>
      <c r="AG86" s="10">
        <v>0.28125</v>
      </c>
      <c r="AH86" s="9" t="s">
        <v>37</v>
      </c>
      <c r="AK86" s="15">
        <f t="shared" si="45"/>
        <v>0.38541666666666663</v>
      </c>
      <c r="AL86" s="10">
        <f t="shared" si="46"/>
        <v>0.15625</v>
      </c>
      <c r="AM86" s="15"/>
      <c r="AN86" s="9" t="s">
        <v>135</v>
      </c>
    </row>
    <row r="87" spans="1:41" s="8" customFormat="1" ht="21.75" customHeight="1" x14ac:dyDescent="0.25">
      <c r="A87" s="9">
        <v>74</v>
      </c>
      <c r="B87" s="10">
        <v>0.90277777777777779</v>
      </c>
      <c r="C87" s="16" t="s">
        <v>32</v>
      </c>
      <c r="D87" s="16">
        <v>217</v>
      </c>
      <c r="E87" s="25">
        <v>0.91249999999999998</v>
      </c>
      <c r="F87" s="15">
        <v>3.472222222222222E-3</v>
      </c>
      <c r="G87" s="15">
        <f t="shared" si="42"/>
        <v>9.0972222222222232E-2</v>
      </c>
      <c r="H87" s="44" t="s">
        <v>137</v>
      </c>
      <c r="I87" s="15">
        <f t="shared" si="43"/>
        <v>0.15277777777777779</v>
      </c>
      <c r="J87" s="16"/>
      <c r="K87" s="16">
        <v>62</v>
      </c>
      <c r="L87" s="16"/>
      <c r="M87" s="15"/>
      <c r="N87" s="15"/>
      <c r="O87" s="15"/>
      <c r="P87" s="16"/>
      <c r="Q87" s="15"/>
      <c r="R87" s="15"/>
      <c r="S87" s="15"/>
      <c r="T87" s="15"/>
      <c r="U87" s="15"/>
      <c r="V87" s="15"/>
      <c r="W87" s="15">
        <v>62</v>
      </c>
      <c r="X87" s="15"/>
      <c r="Y87" s="15" t="s">
        <v>139</v>
      </c>
      <c r="Z87" s="15"/>
      <c r="AA87" s="15" t="s">
        <v>137</v>
      </c>
      <c r="AB87" s="15">
        <v>203</v>
      </c>
      <c r="AC87" s="15">
        <v>0.15625</v>
      </c>
      <c r="AD87" s="15">
        <v>0.27291666666666664</v>
      </c>
      <c r="AE87" s="15">
        <f t="shared" si="44"/>
        <v>0.11666666666666664</v>
      </c>
      <c r="AF87" s="15" t="s">
        <v>35</v>
      </c>
      <c r="AG87" s="15">
        <v>0.27777777777777779</v>
      </c>
      <c r="AH87" s="15" t="s">
        <v>19</v>
      </c>
      <c r="AI87" s="15"/>
      <c r="AJ87" s="15"/>
      <c r="AK87" s="15">
        <f t="shared" si="45"/>
        <v>0.375</v>
      </c>
      <c r="AL87" s="10">
        <f t="shared" si="46"/>
        <v>0.15277777777777779</v>
      </c>
      <c r="AM87" s="15"/>
      <c r="AN87" s="9" t="s">
        <v>138</v>
      </c>
    </row>
    <row r="88" spans="1:41" s="8" customFormat="1" ht="21.75" customHeight="1" x14ac:dyDescent="0.25">
      <c r="A88" s="9">
        <v>75</v>
      </c>
      <c r="B88" s="10">
        <v>0.90277777777777779</v>
      </c>
      <c r="C88" s="16" t="s">
        <v>112</v>
      </c>
      <c r="D88" s="16">
        <v>223</v>
      </c>
      <c r="E88" s="15">
        <v>0.912638888888888</v>
      </c>
      <c r="F88" s="15">
        <v>0.94444444444444453</v>
      </c>
      <c r="G88" s="15">
        <f t="shared" si="42"/>
        <v>3.1805555555556531E-2</v>
      </c>
      <c r="H88" s="44" t="s">
        <v>33</v>
      </c>
      <c r="I88" s="15">
        <f t="shared" si="43"/>
        <v>0.27083333333333326</v>
      </c>
      <c r="J88" s="16"/>
      <c r="K88" s="16">
        <v>4</v>
      </c>
      <c r="L88" s="44" t="s">
        <v>140</v>
      </c>
      <c r="M88" s="15"/>
      <c r="N88" s="15"/>
      <c r="O88" s="15"/>
      <c r="P88" s="16"/>
      <c r="Q88" s="15"/>
      <c r="R88" s="16"/>
      <c r="W88" s="16">
        <v>14</v>
      </c>
      <c r="X88" s="45"/>
      <c r="Y88" s="10"/>
      <c r="Z88" s="16"/>
      <c r="AA88" s="46" t="s">
        <v>142</v>
      </c>
      <c r="AB88" s="16">
        <v>206</v>
      </c>
      <c r="AC88" s="15">
        <v>0.21527777777777779</v>
      </c>
      <c r="AD88" s="25">
        <v>0.28263888888888888</v>
      </c>
      <c r="AE88" s="15">
        <f t="shared" si="44"/>
        <v>6.7361111111111094E-2</v>
      </c>
      <c r="AF88" s="16" t="s">
        <v>32</v>
      </c>
      <c r="AG88" s="10">
        <v>0.28472222222222221</v>
      </c>
      <c r="AH88" s="9" t="s">
        <v>19</v>
      </c>
      <c r="AK88" s="15">
        <f t="shared" si="45"/>
        <v>0.38194444444444442</v>
      </c>
      <c r="AL88" s="10">
        <f t="shared" si="46"/>
        <v>0.27083333333333326</v>
      </c>
      <c r="AM88" s="15"/>
      <c r="AN88" s="47" t="s">
        <v>141</v>
      </c>
    </row>
    <row r="89" spans="1:41" s="8" customFormat="1" ht="21.75" customHeight="1" x14ac:dyDescent="0.25">
      <c r="A89" s="9">
        <v>76</v>
      </c>
      <c r="B89" s="10">
        <v>0.90277777777777779</v>
      </c>
      <c r="C89" s="16" t="s">
        <v>36</v>
      </c>
      <c r="D89" s="16">
        <v>204</v>
      </c>
      <c r="E89" s="15">
        <v>0.91388888888888886</v>
      </c>
      <c r="F89" s="15">
        <v>0.97916666666666663</v>
      </c>
      <c r="G89" s="15">
        <f t="shared" si="42"/>
        <v>6.5277777777777768E-2</v>
      </c>
      <c r="H89" s="44" t="s">
        <v>126</v>
      </c>
      <c r="I89" s="15">
        <f t="shared" si="43"/>
        <v>0.25</v>
      </c>
      <c r="J89" s="16"/>
      <c r="K89" s="16">
        <v>15</v>
      </c>
      <c r="L89" s="16"/>
      <c r="M89" s="15"/>
      <c r="N89" s="15"/>
      <c r="O89" s="15"/>
      <c r="P89" s="16"/>
      <c r="Q89" s="15"/>
      <c r="R89" s="15"/>
      <c r="S89" s="15"/>
      <c r="T89" s="15"/>
      <c r="U89" s="15"/>
      <c r="V89" s="15"/>
      <c r="W89" s="15">
        <v>0</v>
      </c>
      <c r="X89" s="15"/>
      <c r="Y89" s="15" t="s">
        <v>144</v>
      </c>
      <c r="Z89" s="15"/>
      <c r="AA89" s="15" t="s">
        <v>145</v>
      </c>
      <c r="AB89" s="15"/>
      <c r="AC89" s="15">
        <v>0.22916666666666666</v>
      </c>
      <c r="AD89" s="15">
        <v>0.29166666666666669</v>
      </c>
      <c r="AE89" s="15">
        <f t="shared" si="44"/>
        <v>6.2500000000000028E-2</v>
      </c>
      <c r="AF89" s="15" t="s">
        <v>146</v>
      </c>
      <c r="AG89" s="15">
        <v>0.2951388888888889</v>
      </c>
      <c r="AH89" s="15" t="s">
        <v>19</v>
      </c>
      <c r="AI89" s="15"/>
      <c r="AJ89" s="15"/>
      <c r="AK89" s="15">
        <f t="shared" si="45"/>
        <v>0.39236111111111116</v>
      </c>
      <c r="AL89" s="10">
        <f t="shared" si="46"/>
        <v>0.25</v>
      </c>
      <c r="AM89" s="15"/>
      <c r="AN89" s="47" t="s">
        <v>143</v>
      </c>
    </row>
    <row r="90" spans="1:41" s="8" customFormat="1" ht="21.75" customHeight="1" x14ac:dyDescent="0.25">
      <c r="A90" s="16"/>
      <c r="B90" s="16"/>
      <c r="C90" s="16"/>
      <c r="D90" s="16"/>
      <c r="E90" s="15"/>
      <c r="F90" s="15"/>
      <c r="G90" s="15"/>
      <c r="H90" s="16"/>
      <c r="I90" s="15"/>
      <c r="J90" s="16"/>
      <c r="K90" s="16"/>
      <c r="L90" s="16"/>
      <c r="M90" s="15"/>
      <c r="N90" s="15"/>
      <c r="O90" s="15"/>
      <c r="P90" s="16"/>
      <c r="Q90" s="46"/>
      <c r="R90" s="16"/>
      <c r="S90" s="16"/>
      <c r="T90" s="16"/>
      <c r="U90" s="15"/>
      <c r="V90" s="15"/>
      <c r="W90" s="15"/>
      <c r="X90" s="16"/>
      <c r="Y90" s="16"/>
      <c r="Z90" s="16"/>
      <c r="AA90" s="16"/>
      <c r="AB90" s="16"/>
      <c r="AC90" s="16"/>
      <c r="AD90" s="16"/>
      <c r="AE90" s="16"/>
      <c r="AF90" s="16"/>
      <c r="AG90" s="10"/>
      <c r="AH90" s="9"/>
      <c r="AI90" s="38"/>
      <c r="AJ90" s="10"/>
      <c r="AK90" s="15"/>
      <c r="AL90" s="10"/>
      <c r="AM90" s="15"/>
      <c r="AN90" s="16"/>
      <c r="AO90" s="16"/>
    </row>
    <row r="91" spans="1:41" s="8" customFormat="1" ht="21.75" customHeight="1" x14ac:dyDescent="0.25">
      <c r="A91" s="9">
        <v>77</v>
      </c>
      <c r="B91" s="10">
        <v>0.89583333333333337</v>
      </c>
      <c r="C91" s="16" t="s">
        <v>19</v>
      </c>
      <c r="D91" s="16" t="s">
        <v>147</v>
      </c>
      <c r="E91" s="20"/>
      <c r="F91" s="20"/>
      <c r="G91" s="15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5"/>
      <c r="T91" s="16" t="s">
        <v>147</v>
      </c>
      <c r="U91" s="15"/>
      <c r="V91" s="15"/>
      <c r="W91" s="10"/>
      <c r="X91" s="15"/>
      <c r="Y91" s="15"/>
      <c r="Z91" s="15"/>
      <c r="AA91" s="15"/>
      <c r="AB91" s="15"/>
      <c r="AC91" s="15"/>
      <c r="AD91" s="15"/>
      <c r="AE91" s="15"/>
      <c r="AF91" s="15"/>
      <c r="AG91" s="20">
        <v>0.27083333333333331</v>
      </c>
      <c r="AH91" s="9" t="s">
        <v>19</v>
      </c>
      <c r="AI91" s="16"/>
      <c r="AJ91" s="10"/>
      <c r="AK91" s="15">
        <f>MOD((AG91-B91),1)</f>
        <v>0.375</v>
      </c>
      <c r="AL91" s="10"/>
      <c r="AM91" s="10"/>
      <c r="AN91" s="16" t="s">
        <v>148</v>
      </c>
      <c r="AO91" s="16"/>
    </row>
    <row r="92" spans="1:41" s="8" customFormat="1" ht="21.75" customHeight="1" x14ac:dyDescent="0.25">
      <c r="A92" s="9">
        <v>78</v>
      </c>
      <c r="B92" s="10">
        <v>0.89583333333333337</v>
      </c>
      <c r="C92" s="16" t="s">
        <v>83</v>
      </c>
      <c r="D92" s="16" t="s">
        <v>149</v>
      </c>
      <c r="E92" s="15"/>
      <c r="F92" s="15"/>
      <c r="G92" s="15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5"/>
      <c r="T92" s="16" t="s">
        <v>149</v>
      </c>
      <c r="U92" s="15"/>
      <c r="V92" s="15"/>
      <c r="W92" s="10"/>
      <c r="X92" s="15"/>
      <c r="Y92" s="15"/>
      <c r="Z92" s="15"/>
      <c r="AA92" s="15"/>
      <c r="AB92" s="15"/>
      <c r="AC92" s="15"/>
      <c r="AD92" s="15"/>
      <c r="AE92" s="15"/>
      <c r="AF92" s="15"/>
      <c r="AG92" s="20">
        <v>0.27083333333333331</v>
      </c>
      <c r="AH92" s="9" t="s">
        <v>19</v>
      </c>
      <c r="AI92" s="16"/>
      <c r="AJ92" s="10"/>
      <c r="AK92" s="15">
        <f>MOD((AG92-B92),1)</f>
        <v>0.375</v>
      </c>
      <c r="AL92" s="10"/>
      <c r="AM92" s="10"/>
      <c r="AN92" s="16" t="s">
        <v>148</v>
      </c>
      <c r="AO92" s="16"/>
    </row>
    <row r="93" spans="1:41" ht="21" customHeight="1" x14ac:dyDescent="0.25">
      <c r="A93" s="48"/>
      <c r="B93" s="49"/>
      <c r="C93" s="48"/>
      <c r="D93" s="48"/>
      <c r="E93" s="50"/>
      <c r="F93" s="50"/>
      <c r="G93" s="50"/>
      <c r="H93" s="48"/>
      <c r="I93" s="50"/>
      <c r="J93" s="48"/>
      <c r="K93" s="48"/>
      <c r="L93" s="48"/>
      <c r="M93" s="50"/>
      <c r="N93" s="50"/>
      <c r="O93" s="50"/>
      <c r="P93" s="48"/>
      <c r="Q93" s="50"/>
      <c r="R93" s="48"/>
      <c r="S93" s="48"/>
      <c r="T93" s="48"/>
      <c r="U93" s="50"/>
      <c r="V93" s="50"/>
      <c r="W93" s="50"/>
      <c r="X93" s="48"/>
      <c r="Y93" s="48"/>
      <c r="Z93" s="48"/>
      <c r="AA93" s="48"/>
      <c r="AB93" s="48"/>
      <c r="AC93" s="48"/>
      <c r="AD93" s="48"/>
      <c r="AE93" s="48"/>
      <c r="AF93" s="48"/>
      <c r="AG93" s="50"/>
      <c r="AH93" s="51" t="s">
        <v>150</v>
      </c>
      <c r="AI93" s="51"/>
      <c r="AJ93" s="52">
        <f>AVERAGE(AJ4:AJ92)</f>
        <v>0.22925147669220958</v>
      </c>
      <c r="AK93" s="52">
        <f t="shared" ref="AK93:AM93" si="47">AVERAGE(AK4:AK92)</f>
        <v>0.32837301587301604</v>
      </c>
      <c r="AL93" s="52">
        <f t="shared" si="47"/>
        <v>7.7317942942942849E-2</v>
      </c>
      <c r="AM93" s="52">
        <f t="shared" si="47"/>
        <v>6.8657407407407264E-2</v>
      </c>
      <c r="AN93" s="52"/>
    </row>
    <row r="94" spans="1:41" s="1" customFormat="1" x14ac:dyDescent="0.25">
      <c r="A94" s="2"/>
      <c r="B94" s="53"/>
      <c r="J94" s="2"/>
      <c r="K94" s="2"/>
      <c r="L94" s="2"/>
      <c r="P94" s="2"/>
      <c r="R94" s="2"/>
      <c r="S94" s="2"/>
      <c r="T94" s="2"/>
      <c r="X94" s="2"/>
      <c r="Y94" s="2"/>
      <c r="Z94" s="2"/>
      <c r="AA94" s="2"/>
      <c r="AB94" s="2"/>
      <c r="AC94" s="2"/>
      <c r="AD94" s="2"/>
      <c r="AE94" s="2"/>
      <c r="AF94" s="2"/>
      <c r="AH94" s="2"/>
      <c r="AI94" s="2"/>
      <c r="AN94" s="2"/>
    </row>
    <row r="95" spans="1:41" s="1" customFormat="1" x14ac:dyDescent="0.25">
      <c r="A95" s="2"/>
      <c r="B95" s="53"/>
      <c r="J95" s="2"/>
      <c r="K95" s="2"/>
      <c r="L95" s="2"/>
      <c r="P95" s="2"/>
      <c r="R95" s="2"/>
      <c r="S95" s="2"/>
      <c r="T95" s="2"/>
      <c r="X95" s="2"/>
      <c r="Y95" s="2"/>
      <c r="Z95" s="2"/>
      <c r="AA95" s="2"/>
      <c r="AB95" s="2"/>
      <c r="AC95" s="2"/>
      <c r="AD95" s="2"/>
      <c r="AE95" s="2"/>
      <c r="AF95" s="2"/>
      <c r="AH95" s="2"/>
      <c r="AI95" s="2"/>
      <c r="AN95" s="2"/>
    </row>
    <row r="96" spans="1:41" s="1" customFormat="1" x14ac:dyDescent="0.25">
      <c r="A96" s="2"/>
      <c r="B96" s="53"/>
      <c r="J96" s="2"/>
      <c r="K96" s="2"/>
      <c r="L96" s="2"/>
      <c r="P96" s="2"/>
      <c r="R96" s="2"/>
      <c r="S96" s="2"/>
      <c r="T96" s="2"/>
      <c r="X96" s="2"/>
      <c r="Y96" s="2"/>
      <c r="Z96" s="2"/>
      <c r="AA96" s="2"/>
      <c r="AB96" s="2"/>
      <c r="AC96" s="2"/>
      <c r="AD96" s="2"/>
      <c r="AE96" s="2"/>
      <c r="AF96" s="2"/>
      <c r="AH96" s="2"/>
      <c r="AI96" s="2"/>
      <c r="AN96" s="2"/>
    </row>
    <row r="97" spans="1:41" s="1" customFormat="1" x14ac:dyDescent="0.25">
      <c r="A97" s="2"/>
      <c r="B97" s="53"/>
      <c r="J97" s="2"/>
      <c r="K97" s="2"/>
      <c r="L97" s="2"/>
      <c r="P97" s="2"/>
      <c r="R97" s="2"/>
      <c r="S97" s="2"/>
      <c r="T97" s="2"/>
      <c r="X97" s="2"/>
      <c r="Y97" s="2"/>
      <c r="Z97" s="2"/>
      <c r="AA97" s="2"/>
      <c r="AB97" s="2"/>
      <c r="AC97" s="2"/>
      <c r="AD97" s="2"/>
      <c r="AE97" s="2"/>
      <c r="AF97" s="2"/>
      <c r="AH97" s="2"/>
      <c r="AI97" s="2"/>
      <c r="AN97" s="2"/>
    </row>
    <row r="98" spans="1:41" s="1" customFormat="1" x14ac:dyDescent="0.25">
      <c r="A98" s="2"/>
      <c r="B98" s="53"/>
      <c r="J98" s="2"/>
      <c r="K98" s="2"/>
      <c r="L98" s="2"/>
      <c r="P98" s="2"/>
      <c r="R98" s="2"/>
      <c r="S98" s="2"/>
      <c r="T98" s="2"/>
      <c r="X98" s="2"/>
      <c r="Y98" s="2"/>
      <c r="Z98" s="2"/>
      <c r="AA98" s="2"/>
      <c r="AB98" s="2"/>
      <c r="AC98" s="2"/>
      <c r="AD98" s="2"/>
      <c r="AE98" s="2"/>
      <c r="AF98" s="2"/>
      <c r="AH98" s="2"/>
      <c r="AI98" s="2"/>
      <c r="AN98" s="2"/>
    </row>
    <row r="99" spans="1:41" x14ac:dyDescent="0.25">
      <c r="B99" s="53"/>
    </row>
    <row r="100" spans="1:41" x14ac:dyDescent="0.25">
      <c r="B100" s="53"/>
    </row>
    <row r="101" spans="1:41" x14ac:dyDescent="0.25">
      <c r="B101" s="53"/>
    </row>
    <row r="102" spans="1:41" x14ac:dyDescent="0.25">
      <c r="B102" s="53"/>
    </row>
    <row r="103" spans="1:41" s="1" customFormat="1" x14ac:dyDescent="0.25">
      <c r="A103" s="2"/>
      <c r="B103" s="53"/>
      <c r="D103" s="2"/>
      <c r="J103" s="2"/>
      <c r="K103" s="2"/>
      <c r="L103" s="2"/>
      <c r="P103" s="2"/>
      <c r="R103" s="2"/>
      <c r="S103" s="2"/>
      <c r="T103" s="2"/>
      <c r="X103" s="2"/>
      <c r="Y103" s="2"/>
      <c r="Z103" s="2"/>
      <c r="AA103" s="2"/>
      <c r="AB103" s="2"/>
      <c r="AC103" s="2"/>
      <c r="AD103" s="2"/>
      <c r="AE103" s="2"/>
      <c r="AF103" s="2"/>
      <c r="AH103" s="2"/>
      <c r="AI103" s="2"/>
      <c r="AN103" s="2"/>
    </row>
    <row r="104" spans="1:41" s="1" customFormat="1" x14ac:dyDescent="0.25">
      <c r="A104" s="2"/>
      <c r="B104" s="53"/>
      <c r="J104" s="2"/>
      <c r="K104" s="2"/>
      <c r="L104" s="2"/>
      <c r="P104" s="2"/>
      <c r="R104" s="2"/>
      <c r="S104" s="2"/>
      <c r="T104" s="2"/>
      <c r="X104" s="2"/>
      <c r="Y104" s="2"/>
      <c r="Z104" s="2"/>
      <c r="AA104" s="2"/>
      <c r="AB104" s="2"/>
      <c r="AC104" s="2"/>
      <c r="AD104" s="2"/>
      <c r="AE104" s="2"/>
      <c r="AF104" s="2"/>
      <c r="AH104" s="2"/>
      <c r="AI104" s="2"/>
      <c r="AN104" s="2"/>
    </row>
    <row r="105" spans="1:41" s="1" customFormat="1" x14ac:dyDescent="0.25">
      <c r="A105" s="2"/>
      <c r="B105" s="53"/>
      <c r="J105" s="2"/>
      <c r="K105" s="2"/>
      <c r="L105" s="2"/>
      <c r="P105" s="2"/>
      <c r="R105" s="2"/>
      <c r="S105" s="2"/>
      <c r="T105" s="2"/>
      <c r="X105" s="57" t="s">
        <v>110</v>
      </c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9"/>
    </row>
    <row r="106" spans="1:41" s="1" customFormat="1" x14ac:dyDescent="0.25">
      <c r="A106" s="2"/>
      <c r="B106" s="53"/>
      <c r="J106" s="2"/>
      <c r="K106" s="2"/>
      <c r="L106" s="2"/>
      <c r="P106" s="2"/>
      <c r="R106" s="2"/>
      <c r="S106" s="2"/>
      <c r="T106" s="2"/>
      <c r="X106" s="60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2"/>
    </row>
    <row r="107" spans="1:41" s="1" customFormat="1" x14ac:dyDescent="0.25">
      <c r="A107" s="2"/>
      <c r="B107" s="53"/>
      <c r="J107" s="2"/>
      <c r="K107" s="2"/>
      <c r="L107" s="2"/>
      <c r="P107" s="2"/>
      <c r="R107" s="2"/>
      <c r="S107" s="2"/>
      <c r="T107" s="2"/>
      <c r="X107" s="60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2"/>
    </row>
    <row r="108" spans="1:41" s="1" customFormat="1" x14ac:dyDescent="0.25">
      <c r="A108" s="2"/>
      <c r="J108" s="2"/>
      <c r="K108" s="2"/>
      <c r="L108" s="2"/>
      <c r="P108" s="2"/>
      <c r="R108" s="2"/>
      <c r="S108" s="2"/>
      <c r="T108" s="2"/>
      <c r="X108" s="60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2"/>
    </row>
    <row r="109" spans="1:41" s="1" customFormat="1" x14ac:dyDescent="0.25">
      <c r="A109" s="2"/>
      <c r="J109" s="2"/>
      <c r="K109" s="2"/>
      <c r="L109" s="2"/>
      <c r="P109" s="2"/>
      <c r="R109" s="2"/>
      <c r="S109" s="2"/>
      <c r="T109" s="2"/>
      <c r="X109" s="60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2"/>
    </row>
    <row r="110" spans="1:41" s="1" customFormat="1" x14ac:dyDescent="0.25">
      <c r="A110" s="2"/>
      <c r="J110" s="2"/>
      <c r="K110" s="2"/>
      <c r="L110" s="2"/>
      <c r="P110" s="2"/>
      <c r="R110" s="2"/>
      <c r="S110" s="2"/>
      <c r="T110" s="2"/>
      <c r="X110" s="60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2"/>
    </row>
    <row r="111" spans="1:41" s="1" customFormat="1" x14ac:dyDescent="0.25">
      <c r="A111" s="2"/>
      <c r="J111" s="2"/>
      <c r="K111" s="2"/>
      <c r="L111" s="2"/>
      <c r="P111" s="2"/>
      <c r="R111" s="2"/>
      <c r="S111" s="2"/>
      <c r="T111" s="2"/>
      <c r="X111" s="60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2"/>
    </row>
    <row r="112" spans="1:41" s="1" customFormat="1" x14ac:dyDescent="0.25">
      <c r="A112" s="2"/>
      <c r="J112" s="2"/>
      <c r="K112" s="2"/>
      <c r="L112" s="2"/>
      <c r="P112" s="2"/>
      <c r="R112" s="2"/>
      <c r="S112" s="2"/>
      <c r="T112" s="2"/>
      <c r="X112" s="60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2"/>
    </row>
    <row r="113" spans="1:41" s="1" customFormat="1" x14ac:dyDescent="0.25">
      <c r="A113" s="2"/>
      <c r="J113" s="2"/>
      <c r="K113" s="2"/>
      <c r="L113" s="2"/>
      <c r="P113" s="2"/>
      <c r="R113" s="2"/>
      <c r="S113" s="2"/>
      <c r="T113" s="2"/>
      <c r="X113" s="60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2"/>
    </row>
    <row r="114" spans="1:41" s="1" customFormat="1" x14ac:dyDescent="0.25">
      <c r="A114" s="2"/>
      <c r="J114" s="2"/>
      <c r="K114" s="2"/>
      <c r="L114" s="2"/>
      <c r="P114" s="2"/>
      <c r="R114" s="2"/>
      <c r="S114" s="2"/>
      <c r="T114" s="2"/>
      <c r="X114" s="60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2"/>
    </row>
    <row r="115" spans="1:41" s="1" customFormat="1" x14ac:dyDescent="0.25">
      <c r="A115" s="2"/>
      <c r="J115" s="2"/>
      <c r="K115" s="2"/>
      <c r="L115" s="2"/>
      <c r="P115" s="2"/>
      <c r="R115" s="2"/>
      <c r="S115" s="2"/>
      <c r="T115" s="2"/>
      <c r="X115" s="60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2"/>
    </row>
    <row r="116" spans="1:41" s="1" customFormat="1" x14ac:dyDescent="0.25">
      <c r="A116" s="2"/>
      <c r="J116" s="2"/>
      <c r="K116" s="2"/>
      <c r="L116" s="2"/>
      <c r="P116" s="2"/>
      <c r="R116" s="2"/>
      <c r="S116" s="2"/>
      <c r="T116" s="2"/>
      <c r="X116" s="60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2"/>
    </row>
    <row r="117" spans="1:41" s="1" customFormat="1" x14ac:dyDescent="0.25">
      <c r="A117" s="2"/>
      <c r="J117" s="2"/>
      <c r="K117" s="2"/>
      <c r="L117" s="2"/>
      <c r="P117" s="2"/>
      <c r="R117" s="2"/>
      <c r="S117" s="2"/>
      <c r="T117" s="2"/>
      <c r="X117" s="60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2"/>
    </row>
    <row r="118" spans="1:41" x14ac:dyDescent="0.25">
      <c r="D118" s="1"/>
      <c r="X118" s="60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2"/>
    </row>
    <row r="119" spans="1:41" x14ac:dyDescent="0.25">
      <c r="X119" s="63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5"/>
    </row>
  </sheetData>
  <mergeCells count="2">
    <mergeCell ref="A1:AK1"/>
    <mergeCell ref="X105:AO119"/>
  </mergeCells>
  <conditionalFormatting sqref="A3:AJ6 B7:AJ7 A8:AJ10 B11:AJ11 A12:AJ14 B15:AJ15 A16:AJ24 B25:AJ25 A26:AJ26 B27:AJ27 A28:AJ30 B31:AJ31 A32:AJ37 B38:AJ38 A39:AJ42 B43:AJ43 A44:AJ53 B54:AJ54 B67:AJ68 A69:AJ69 B70:AJ71 A72:AJ73 A74:V74 AI74:AJ74 A75:R78 Q77:AJ77 A80:R80 A82:R82 A84:R84 A86:R86 A88:R88">
    <cfRule type="expression" dxfId="10" priority="9">
      <formula>MOD(ROW(),2)=1</formula>
    </cfRule>
  </conditionalFormatting>
  <conditionalFormatting sqref="A55:AJ66">
    <cfRule type="expression" dxfId="9" priority="8">
      <formula>MOD(ROW(),2)=1</formula>
    </cfRule>
  </conditionalFormatting>
  <conditionalFormatting sqref="A79:AJ79">
    <cfRule type="expression" dxfId="8" priority="6">
      <formula>MOD(ROW(),2)=1</formula>
    </cfRule>
  </conditionalFormatting>
  <conditionalFormatting sqref="A81:AJ81">
    <cfRule type="expression" dxfId="7" priority="5">
      <formula>MOD(ROW(),2)=1</formula>
    </cfRule>
  </conditionalFormatting>
  <conditionalFormatting sqref="A83:AJ83">
    <cfRule type="expression" dxfId="6" priority="4">
      <formula>MOD(ROW(),2)=1</formula>
    </cfRule>
  </conditionalFormatting>
  <conditionalFormatting sqref="A85:AJ85">
    <cfRule type="expression" dxfId="5" priority="3">
      <formula>MOD(ROW(),2)=1</formula>
    </cfRule>
  </conditionalFormatting>
  <conditionalFormatting sqref="A87:AJ87">
    <cfRule type="expression" dxfId="4" priority="2">
      <formula>MOD(ROW(),2)=1</formula>
    </cfRule>
  </conditionalFormatting>
  <conditionalFormatting sqref="A89:AJ92">
    <cfRule type="expression" dxfId="3" priority="1">
      <formula>MOD(ROW(),2)=1</formula>
    </cfRule>
  </conditionalFormatting>
  <conditionalFormatting sqref="S75:AJ75">
    <cfRule type="expression" dxfId="2" priority="7">
      <formula>MOD(ROW(),2)=1</formula>
    </cfRule>
  </conditionalFormatting>
  <conditionalFormatting sqref="AT2 AT4:AT72">
    <cfRule type="cellIs" dxfId="1" priority="10" operator="greaterThan">
      <formula>175</formula>
    </cfRule>
    <cfRule type="cellIs" dxfId="0" priority="11" operator="between">
      <formula>160</formula>
      <formula>174</formula>
    </cfRule>
  </conditionalFormatting>
  <printOptions horizontalCentered="1" verticalCentered="1"/>
  <pageMargins left="0" right="0" top="0" bottom="0" header="0" footer="0"/>
  <pageSetup paperSize="9" scale="55" fitToHeight="2" orientation="landscape" r:id="rId1"/>
  <rowBreaks count="1" manualBreakCount="1">
    <brk id="47" max="35" man="1"/>
  </rowBreaks>
  <colBreaks count="1" manualBreakCount="1">
    <brk id="36" max="9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Monday RVR SL</vt:lpstr>
      <vt:lpstr>'Monday RVR SL'!Print_Area</vt:lpstr>
      <vt:lpstr>'Monday RVR SL'!Print_Titles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Nagesha N</cp:lastModifiedBy>
  <dcterms:created xsi:type="dcterms:W3CDTF">2026-10-19T02:42:54Z</dcterms:created>
  <dcterms:modified xsi:type="dcterms:W3CDTF">2026-10-19T12:59:58Z</dcterms:modified>
</cp:coreProperties>
</file>