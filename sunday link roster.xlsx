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ges\OneDrive\Desktop\all day roster and Time table\Only links\"/>
    </mc:Choice>
  </mc:AlternateContent>
  <xr:revisionPtr revIDLastSave="0" documentId="13_ncr:1_{82F476A5-3D77-41C6-8BA5-9E8424B167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n Link CRRC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'Sun Link CRRC'!$A$2:$AN$2</definedName>
    <definedName name="hh">'[1]exp1 (2)'!$N$3:$N$180</definedName>
    <definedName name="JJJ">'[2]3.8'!$H$2:$H$130</definedName>
    <definedName name="KK">'[2]3.8'!$H$2:$H$130</definedName>
    <definedName name="_xlnm.Print_Area" localSheetId="0">'Sun Link CRRC'!$A$1:$AJ$77</definedName>
    <definedName name="_xlnm.Print_Titles" localSheetId="0">'Sun Link CRRC'!$1:$2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78" i="1" l="1"/>
  <c r="AK77" i="1"/>
  <c r="AK76" i="1"/>
  <c r="AE74" i="1"/>
  <c r="G74" i="1"/>
  <c r="B74" i="1"/>
  <c r="AK74" i="1" s="1"/>
  <c r="AK73" i="1"/>
  <c r="G73" i="1"/>
  <c r="AJ73" i="1" s="1"/>
  <c r="AK72" i="1"/>
  <c r="G72" i="1"/>
  <c r="AJ72" i="1" s="1"/>
  <c r="AE71" i="1"/>
  <c r="AJ71" i="1" s="1"/>
  <c r="AK71" i="1"/>
  <c r="G71" i="1"/>
  <c r="AE70" i="1"/>
  <c r="AK70" i="1"/>
  <c r="G70" i="1"/>
  <c r="AE69" i="1"/>
  <c r="G69" i="1"/>
  <c r="B69" i="1"/>
  <c r="AK69" i="1" s="1"/>
  <c r="AK68" i="1"/>
  <c r="G68" i="1"/>
  <c r="AJ68" i="1" s="1"/>
  <c r="AE67" i="1"/>
  <c r="AK67" i="1"/>
  <c r="G67" i="1"/>
  <c r="AJ67" i="1" s="1"/>
  <c r="AE66" i="1"/>
  <c r="AK66" i="1"/>
  <c r="G66" i="1"/>
  <c r="AE65" i="1"/>
  <c r="AK65" i="1"/>
  <c r="G65" i="1"/>
  <c r="AJ65" i="1" s="1"/>
  <c r="AE63" i="1"/>
  <c r="AK63" i="1"/>
  <c r="G63" i="1"/>
  <c r="AJ63" i="1" s="1"/>
  <c r="AE62" i="1"/>
  <c r="AK62" i="1"/>
  <c r="G62" i="1"/>
  <c r="AE61" i="1"/>
  <c r="AK61" i="1"/>
  <c r="G61" i="1"/>
  <c r="AE60" i="1"/>
  <c r="AK60" i="1"/>
  <c r="G60" i="1"/>
  <c r="AE59" i="1"/>
  <c r="AK59" i="1"/>
  <c r="G59" i="1"/>
  <c r="AG57" i="1"/>
  <c r="AK57" i="1" s="1"/>
  <c r="W57" i="1"/>
  <c r="Q57" i="1"/>
  <c r="AL57" i="1" s="1"/>
  <c r="O57" i="1"/>
  <c r="I57" i="1"/>
  <c r="G57" i="1"/>
  <c r="AK56" i="1"/>
  <c r="Z56" i="1"/>
  <c r="O56" i="1"/>
  <c r="I56" i="1"/>
  <c r="AL56" i="1" s="1"/>
  <c r="G56" i="1"/>
  <c r="AK55" i="1"/>
  <c r="W55" i="1"/>
  <c r="Q55" i="1"/>
  <c r="O55" i="1"/>
  <c r="I55" i="1"/>
  <c r="G55" i="1"/>
  <c r="W54" i="1"/>
  <c r="Q54" i="1"/>
  <c r="O54" i="1"/>
  <c r="I54" i="1"/>
  <c r="G54" i="1"/>
  <c r="AJ54" i="1" s="1"/>
  <c r="B54" i="1"/>
  <c r="AK54" i="1" s="1"/>
  <c r="O53" i="1"/>
  <c r="I53" i="1"/>
  <c r="AL53" i="1" s="1"/>
  <c r="G53" i="1"/>
  <c r="AJ53" i="1" s="1"/>
  <c r="B53" i="1"/>
  <c r="AK53" i="1" s="1"/>
  <c r="AK52" i="1"/>
  <c r="Z52" i="1"/>
  <c r="O52" i="1"/>
  <c r="I52" i="1"/>
  <c r="AL52" i="1" s="1"/>
  <c r="G52" i="1"/>
  <c r="AJ52" i="1" s="1"/>
  <c r="AK51" i="1"/>
  <c r="Z51" i="1"/>
  <c r="O51" i="1"/>
  <c r="I51" i="1"/>
  <c r="AL51" i="1" s="1"/>
  <c r="G51" i="1"/>
  <c r="AK49" i="1"/>
  <c r="W49" i="1"/>
  <c r="Q49" i="1"/>
  <c r="O49" i="1"/>
  <c r="I49" i="1"/>
  <c r="G49" i="1"/>
  <c r="AK48" i="1"/>
  <c r="O48" i="1"/>
  <c r="I48" i="1"/>
  <c r="AL48" i="1" s="1"/>
  <c r="G48" i="1"/>
  <c r="AK47" i="1"/>
  <c r="O47" i="1"/>
  <c r="I47" i="1"/>
  <c r="AL47" i="1" s="1"/>
  <c r="G47" i="1"/>
  <c r="AJ47" i="1" s="1"/>
  <c r="AK46" i="1"/>
  <c r="W46" i="1"/>
  <c r="Q46" i="1"/>
  <c r="O46" i="1"/>
  <c r="I46" i="1"/>
  <c r="AL46" i="1" s="1"/>
  <c r="G46" i="1"/>
  <c r="AJ46" i="1" s="1"/>
  <c r="O45" i="1"/>
  <c r="I45" i="1"/>
  <c r="AL45" i="1" s="1"/>
  <c r="G45" i="1"/>
  <c r="B45" i="1"/>
  <c r="AK45" i="1" s="1"/>
  <c r="AK44" i="1"/>
  <c r="W44" i="1"/>
  <c r="Q44" i="1"/>
  <c r="AL44" i="1" s="1"/>
  <c r="O44" i="1"/>
  <c r="I44" i="1"/>
  <c r="G44" i="1"/>
  <c r="AK42" i="1"/>
  <c r="W42" i="1"/>
  <c r="Q42" i="1"/>
  <c r="O42" i="1"/>
  <c r="I42" i="1"/>
  <c r="G42" i="1"/>
  <c r="W41" i="1"/>
  <c r="Q41" i="1"/>
  <c r="AL41" i="1" s="1"/>
  <c r="O41" i="1"/>
  <c r="I41" i="1"/>
  <c r="G41" i="1"/>
  <c r="B41" i="1"/>
  <c r="AK41" i="1" s="1"/>
  <c r="AK40" i="1"/>
  <c r="W40" i="1"/>
  <c r="Q40" i="1"/>
  <c r="AL40" i="1" s="1"/>
  <c r="O40" i="1"/>
  <c r="I40" i="1"/>
  <c r="G40" i="1"/>
  <c r="AK39" i="1"/>
  <c r="W39" i="1"/>
  <c r="Q39" i="1"/>
  <c r="O39" i="1"/>
  <c r="I39" i="1"/>
  <c r="G39" i="1"/>
  <c r="AK38" i="1"/>
  <c r="W38" i="1"/>
  <c r="Q38" i="1"/>
  <c r="AL38" i="1" s="1"/>
  <c r="O38" i="1"/>
  <c r="I38" i="1"/>
  <c r="G38" i="1"/>
  <c r="AK37" i="1"/>
  <c r="W37" i="1"/>
  <c r="AJ37" i="1" s="1"/>
  <c r="Q37" i="1"/>
  <c r="AL37" i="1" s="1"/>
  <c r="O37" i="1"/>
  <c r="I37" i="1"/>
  <c r="G37" i="1"/>
  <c r="AG35" i="1"/>
  <c r="AK35" i="1" s="1"/>
  <c r="W35" i="1"/>
  <c r="Q35" i="1"/>
  <c r="O35" i="1"/>
  <c r="I35" i="1"/>
  <c r="G35" i="1"/>
  <c r="AK34" i="1"/>
  <c r="W34" i="1"/>
  <c r="Q34" i="1"/>
  <c r="O34" i="1"/>
  <c r="I34" i="1"/>
  <c r="G34" i="1"/>
  <c r="AG33" i="1"/>
  <c r="AK33" i="1" s="1"/>
  <c r="W33" i="1"/>
  <c r="Q33" i="1"/>
  <c r="O33" i="1"/>
  <c r="I33" i="1"/>
  <c r="G33" i="1"/>
  <c r="AK32" i="1"/>
  <c r="W32" i="1"/>
  <c r="Q32" i="1"/>
  <c r="AL32" i="1" s="1"/>
  <c r="O32" i="1"/>
  <c r="I32" i="1"/>
  <c r="G32" i="1"/>
  <c r="AK31" i="1"/>
  <c r="W31" i="1"/>
  <c r="Q31" i="1"/>
  <c r="AL31" i="1" s="1"/>
  <c r="O31" i="1"/>
  <c r="I31" i="1"/>
  <c r="G31" i="1"/>
  <c r="AK30" i="1"/>
  <c r="AK29" i="1"/>
  <c r="AE27" i="1"/>
  <c r="Y27" i="1"/>
  <c r="W27" i="1"/>
  <c r="Q27" i="1"/>
  <c r="O27" i="1"/>
  <c r="I27" i="1"/>
  <c r="G27" i="1"/>
  <c r="B27" i="1"/>
  <c r="AG27" i="1" s="1"/>
  <c r="AK27" i="1" s="1"/>
  <c r="W26" i="1"/>
  <c r="Q26" i="1"/>
  <c r="O26" i="1"/>
  <c r="I26" i="1"/>
  <c r="AL26" i="1" s="1"/>
  <c r="G26" i="1"/>
  <c r="B26" i="1"/>
  <c r="AK26" i="1" s="1"/>
  <c r="W25" i="1"/>
  <c r="Q25" i="1"/>
  <c r="O25" i="1"/>
  <c r="I25" i="1"/>
  <c r="G25" i="1"/>
  <c r="B25" i="1"/>
  <c r="AK25" i="1" s="1"/>
  <c r="AK24" i="1"/>
  <c r="W24" i="1"/>
  <c r="Q24" i="1"/>
  <c r="O24" i="1"/>
  <c r="I24" i="1"/>
  <c r="G24" i="1"/>
  <c r="AK23" i="1"/>
  <c r="W23" i="1"/>
  <c r="Q23" i="1"/>
  <c r="O23" i="1"/>
  <c r="I23" i="1"/>
  <c r="G23" i="1"/>
  <c r="AK22" i="1"/>
  <c r="W22" i="1"/>
  <c r="Q22" i="1"/>
  <c r="O22" i="1"/>
  <c r="I22" i="1"/>
  <c r="G22" i="1"/>
  <c r="W20" i="1"/>
  <c r="Q20" i="1"/>
  <c r="O20" i="1"/>
  <c r="I20" i="1"/>
  <c r="G20" i="1"/>
  <c r="B20" i="1"/>
  <c r="AK20" i="1" s="1"/>
  <c r="AK19" i="1"/>
  <c r="W19" i="1"/>
  <c r="Q19" i="1"/>
  <c r="O19" i="1"/>
  <c r="I19" i="1"/>
  <c r="G19" i="1"/>
  <c r="B19" i="1"/>
  <c r="AG18" i="1"/>
  <c r="AK18" i="1" s="1"/>
  <c r="W18" i="1"/>
  <c r="Q18" i="1"/>
  <c r="O18" i="1"/>
  <c r="I18" i="1"/>
  <c r="G18" i="1"/>
  <c r="AG17" i="1"/>
  <c r="AK17" i="1" s="1"/>
  <c r="W17" i="1"/>
  <c r="Q17" i="1"/>
  <c r="O17" i="1"/>
  <c r="I17" i="1"/>
  <c r="G17" i="1"/>
  <c r="AK16" i="1"/>
  <c r="AE16" i="1"/>
  <c r="Y16" i="1"/>
  <c r="W16" i="1"/>
  <c r="Q16" i="1"/>
  <c r="O16" i="1"/>
  <c r="I16" i="1"/>
  <c r="G16" i="1"/>
  <c r="AE14" i="1"/>
  <c r="Y14" i="1"/>
  <c r="W14" i="1"/>
  <c r="Q14" i="1"/>
  <c r="O14" i="1"/>
  <c r="I14" i="1"/>
  <c r="AL14" i="1" s="1"/>
  <c r="G14" i="1"/>
  <c r="AJ14" i="1" s="1"/>
  <c r="B14" i="1"/>
  <c r="AG14" i="1" s="1"/>
  <c r="AK14" i="1" s="1"/>
  <c r="AK13" i="1"/>
  <c r="W13" i="1"/>
  <c r="Q13" i="1"/>
  <c r="O13" i="1"/>
  <c r="I13" i="1"/>
  <c r="G13" i="1"/>
  <c r="AG12" i="1"/>
  <c r="AK12" i="1" s="1"/>
  <c r="W12" i="1"/>
  <c r="Q12" i="1"/>
  <c r="O12" i="1"/>
  <c r="I12" i="1"/>
  <c r="AL12" i="1" s="1"/>
  <c r="G12" i="1"/>
  <c r="AK11" i="1"/>
  <c r="W11" i="1"/>
  <c r="Q11" i="1"/>
  <c r="O11" i="1"/>
  <c r="I11" i="1"/>
  <c r="G11" i="1"/>
  <c r="AK10" i="1"/>
  <c r="W10" i="1"/>
  <c r="Q10" i="1"/>
  <c r="O10" i="1"/>
  <c r="I10" i="1"/>
  <c r="G10" i="1"/>
  <c r="W9" i="1"/>
  <c r="Q9" i="1"/>
  <c r="O9" i="1"/>
  <c r="I9" i="1"/>
  <c r="G9" i="1"/>
  <c r="B9" i="1"/>
  <c r="AK9" i="1" s="1"/>
  <c r="AG7" i="1"/>
  <c r="AK7" i="1" s="1"/>
  <c r="W7" i="1"/>
  <c r="Q7" i="1"/>
  <c r="O7" i="1"/>
  <c r="I7" i="1"/>
  <c r="G7" i="1"/>
  <c r="W6" i="1"/>
  <c r="Q6" i="1"/>
  <c r="O6" i="1"/>
  <c r="I6" i="1"/>
  <c r="G6" i="1"/>
  <c r="B6" i="1"/>
  <c r="AK6" i="1" s="1"/>
  <c r="AK5" i="1"/>
  <c r="W5" i="1"/>
  <c r="Q5" i="1"/>
  <c r="O5" i="1"/>
  <c r="I5" i="1"/>
  <c r="G5" i="1"/>
  <c r="AG4" i="1"/>
  <c r="AK4" i="1" s="1"/>
  <c r="AG3" i="1"/>
  <c r="AK3" i="1" s="1"/>
  <c r="AJ62" i="1" l="1"/>
  <c r="AJ74" i="1"/>
  <c r="AJ45" i="1"/>
  <c r="AJ35" i="1"/>
  <c r="AJ48" i="1"/>
  <c r="AJ34" i="1"/>
  <c r="AL17" i="1"/>
  <c r="AL42" i="1"/>
  <c r="AJ55" i="1"/>
  <c r="AJ61" i="1"/>
  <c r="AJ59" i="1"/>
  <c r="AJ24" i="1"/>
  <c r="AL34" i="1"/>
  <c r="AJ60" i="1"/>
  <c r="AJ5" i="1"/>
  <c r="AJ17" i="1"/>
  <c r="AL24" i="1"/>
  <c r="AJ32" i="1"/>
  <c r="AJ22" i="1"/>
  <c r="AJ26" i="1"/>
  <c r="AJ69" i="1"/>
  <c r="AJ18" i="1"/>
  <c r="AJ51" i="1"/>
  <c r="AL18" i="1"/>
  <c r="AJ16" i="1"/>
  <c r="AJ20" i="1"/>
  <c r="AJ31" i="1"/>
  <c r="AJ66" i="1"/>
  <c r="AL20" i="1"/>
  <c r="AJ23" i="1"/>
  <c r="AJ70" i="1"/>
  <c r="AL54" i="1"/>
  <c r="AJ6" i="1"/>
  <c r="AJ11" i="1"/>
  <c r="AL39" i="1"/>
  <c r="AJ41" i="1"/>
  <c r="AL49" i="1"/>
  <c r="AJ56" i="1"/>
  <c r="AL6" i="1"/>
  <c r="AJ9" i="1"/>
  <c r="AJ13" i="1"/>
  <c r="AL23" i="1"/>
  <c r="AL10" i="1"/>
  <c r="AL33" i="1"/>
  <c r="AL35" i="1"/>
  <c r="AJ38" i="1"/>
  <c r="AJ40" i="1"/>
  <c r="AJ42" i="1"/>
  <c r="AJ19" i="1"/>
  <c r="AJ25" i="1"/>
  <c r="AL9" i="1"/>
  <c r="AL13" i="1"/>
  <c r="AJ33" i="1"/>
  <c r="AL5" i="1"/>
  <c r="AL16" i="1"/>
  <c r="AJ27" i="1"/>
  <c r="AJ7" i="1"/>
  <c r="AJ10" i="1"/>
  <c r="AJ12" i="1"/>
  <c r="AL19" i="1"/>
  <c r="AL22" i="1"/>
  <c r="AL27" i="1"/>
  <c r="AL55" i="1"/>
  <c r="Z53" i="1"/>
  <c r="AJ57" i="1"/>
  <c r="AJ39" i="1"/>
  <c r="AJ44" i="1"/>
  <c r="AJ49" i="1"/>
  <c r="AK78" i="1"/>
  <c r="AL78" i="1" l="1"/>
  <c r="AJ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pyidcrewmu</author>
  </authors>
  <commentList>
    <comment ref="C51" authorId="0" shapeId="0" xr:uid="{00000000-0006-0000-0000-000001000000}">
      <text>
        <r>
          <rPr>
            <b/>
            <sz val="11"/>
            <color indexed="81"/>
            <rFont val="Tahoma"/>
            <family val="2"/>
          </rPr>
          <t>Saturday Night No Rd3 Stabling, withdraw train to depot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Saturday Night No NGSA Pkt Stabling, withdraw train to depot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<sst xmlns="http://schemas.openxmlformats.org/spreadsheetml/2006/main" count="285" uniqueCount="71">
  <si>
    <t>CRRC ID 207 &amp; 218 Sunday Link Roster WEF 11-Oct-2026 for Time Table Dated 11-Oct-2026</t>
  </si>
  <si>
    <t>Duty No</t>
  </si>
  <si>
    <t>S ON Time</t>
  </si>
  <si>
    <t>Sign ON Location</t>
  </si>
  <si>
    <t>Train No</t>
  </si>
  <si>
    <t>Time Frm</t>
  </si>
  <si>
    <t>Time
To</t>
  </si>
  <si>
    <t>Trip  time</t>
  </si>
  <si>
    <t>Handover Location</t>
  </si>
  <si>
    <t xml:space="preserve">Break </t>
  </si>
  <si>
    <t>Takeover
Location</t>
  </si>
  <si>
    <t>S OFF Time</t>
  </si>
  <si>
    <t>Sign Off Location</t>
  </si>
  <si>
    <t>Kms</t>
  </si>
  <si>
    <t>Driving Hrs</t>
  </si>
  <si>
    <t>Duty Hrs</t>
  </si>
  <si>
    <t>Break</t>
  </si>
  <si>
    <t>Counselling</t>
  </si>
  <si>
    <t>Duty Type</t>
  </si>
  <si>
    <t>PYID</t>
  </si>
  <si>
    <t>Pro 1</t>
  </si>
  <si>
    <t>KGWA</t>
  </si>
  <si>
    <t>OR1</t>
  </si>
  <si>
    <t>TGTP</t>
  </si>
  <si>
    <t>Stby</t>
  </si>
  <si>
    <t>PRO1</t>
  </si>
  <si>
    <t>KGWA Dn</t>
  </si>
  <si>
    <t>Depot</t>
  </si>
  <si>
    <t>PYID Up</t>
  </si>
  <si>
    <t>PYID Dn</t>
  </si>
  <si>
    <t>PUTH Dn</t>
  </si>
  <si>
    <t>PUTH</t>
  </si>
  <si>
    <t>PUTH Up</t>
  </si>
  <si>
    <t>KGWA Up</t>
  </si>
  <si>
    <t>BT Dn BE</t>
  </si>
  <si>
    <t>Resv</t>
  </si>
  <si>
    <t>OR2</t>
  </si>
  <si>
    <t>Pro 2</t>
  </si>
  <si>
    <t>PRO2</t>
  </si>
  <si>
    <t>NGSA PKT</t>
  </si>
  <si>
    <t>NGSA</t>
  </si>
  <si>
    <t>CR42</t>
  </si>
  <si>
    <t>CR207</t>
  </si>
  <si>
    <t>CR43</t>
  </si>
  <si>
    <t>CR44</t>
  </si>
  <si>
    <t>CR218</t>
  </si>
  <si>
    <t>CR45</t>
  </si>
  <si>
    <t>CR46</t>
  </si>
  <si>
    <t>B DHO</t>
  </si>
  <si>
    <t>CR47</t>
  </si>
  <si>
    <t>CR48</t>
  </si>
  <si>
    <t>Night Kms</t>
  </si>
  <si>
    <t>Morn Kms</t>
  </si>
  <si>
    <t>APTS Dn</t>
  </si>
  <si>
    <t>APTS Up</t>
  </si>
  <si>
    <t>Pilot</t>
  </si>
  <si>
    <t>NLC Up</t>
  </si>
  <si>
    <t>TGTP Dn</t>
  </si>
  <si>
    <t>PUTH Dn-APTS Dn Pilot</t>
  </si>
  <si>
    <t>Rd3 Stbl</t>
  </si>
  <si>
    <t>BEIT Dn</t>
  </si>
  <si>
    <t>BIET Dn-NGSA Dn Pilot</t>
  </si>
  <si>
    <t>PYID DN</t>
  </si>
  <si>
    <t>NGSA Dn</t>
  </si>
  <si>
    <t>BEIT Up</t>
  </si>
  <si>
    <t>SPGD Dn</t>
  </si>
  <si>
    <t>NGSA Up</t>
  </si>
  <si>
    <t>Pro 3</t>
  </si>
  <si>
    <t xml:space="preserve">PYID </t>
  </si>
  <si>
    <t>CC3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</si>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</sst>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b/>
      <sz val="22"/>
      <color theme="1"/>
      <name val="Cambria"/>
      <family val="1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Tahoma"/>
      <family val="2"/>
    </font>
    <font>
      <sz val="12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Tahoma"/>
      <family val="2"/>
    </font>
    <font>
      <sz val="12"/>
      <color theme="1" tint="4.9989318521683403E-2"/>
      <name val="Arial Narrow"/>
      <family val="2"/>
    </font>
    <font>
      <b/>
      <sz val="12"/>
      <color theme="1" tint="4.9989318521683403E-2"/>
      <name val="Arial Narrow"/>
      <family val="2"/>
    </font>
    <font>
      <sz val="12"/>
      <color theme="1" tint="4.9989318521683403E-2"/>
      <name val="Tahoma"/>
      <family val="2"/>
    </font>
    <font>
      <b/>
      <sz val="11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20" fontId="5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vertical="center"/>
    </xf>
    <xf numFmtId="20" fontId="6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" fontId="4" fillId="0" borderId="3" xfId="0" applyNumberFormat="1" applyFont="1" applyBorder="1" applyAlignment="1">
      <alignment horizontal="left" vertical="center"/>
    </xf>
    <xf numFmtId="1" fontId="7" fillId="0" borderId="3" xfId="0" applyNumberFormat="1" applyFont="1" applyBorder="1" applyAlignment="1">
      <alignment horizontal="right" vertical="center"/>
    </xf>
    <xf numFmtId="1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20" fontId="7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27.10.112\other%20pc\Documents%20and%20Settings\nirajdwcc\Desktop\Documents%20and%20Settings\Lenovo\Desktop\Roster\ROSTER2008\Documents%20and%20Settings\NDPL\My%20Documents\Crew%20Control%20Office%20Dwarka\Roster\Roster%202007\roster%202007\R_exp.xls?22BF7D2E" TargetMode="External"/><Relationship Id="rId1" Type="http://schemas.openxmlformats.org/officeDocument/2006/relationships/externalLinkPath" Target="file:///\\22BF7D2E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X:\RD%20roster\ros-2013\New%20Folder\WEEKDAYS%20FOR%20DISTRIBUTION\DOCUME~1\dmrc\LOCALS~1\Temp\Rar$DI43.384\Documents%20and%20Settings\Lenovo\Desktop\Documents%20and%20Settings\NDPL\My%20Documents\Crew%20Control%20Office%20Dwarka\Roster\Roster%202007\roster%202007\August'07.xls?176ADB01" TargetMode="External"/><Relationship Id="rId1" Type="http://schemas.openxmlformats.org/officeDocument/2006/relationships/externalLinkPath" Target="file:///\\176ADB01\August'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)%20Present%20Running%20Link%20&amp;%20TT\New%20Time%20tables\04)%20L2_Sunday%2011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>
        <row r="2">
          <cell r="H2" t="str">
            <v>Name</v>
          </cell>
        </row>
        <row r="3">
          <cell r="H3" t="str">
            <v>A K Prince</v>
          </cell>
        </row>
        <row r="4">
          <cell r="H4" t="str">
            <v>Dharmender</v>
          </cell>
        </row>
        <row r="5">
          <cell r="H5" t="str">
            <v>Ramesh Kumar</v>
          </cell>
        </row>
        <row r="6">
          <cell r="H6" t="str">
            <v>A Srinivas</v>
          </cell>
        </row>
        <row r="7">
          <cell r="H7" t="str">
            <v>Subhash Bairagya</v>
          </cell>
        </row>
        <row r="8">
          <cell r="H8" t="str">
            <v>Khushal Singh</v>
          </cell>
        </row>
        <row r="9">
          <cell r="H9" t="str">
            <v>Divya Prakash</v>
          </cell>
        </row>
        <row r="10">
          <cell r="H10" t="str">
            <v>Vijay Kumar Singh</v>
          </cell>
        </row>
        <row r="11">
          <cell r="H11" t="str">
            <v>D Ramakrishnan</v>
          </cell>
        </row>
        <row r="12">
          <cell r="H12" t="str">
            <v>Prem Singh</v>
          </cell>
        </row>
        <row r="13">
          <cell r="H13" t="str">
            <v>Vikash Juyal</v>
          </cell>
        </row>
        <row r="14">
          <cell r="H14" t="str">
            <v>Rituraj</v>
          </cell>
        </row>
        <row r="15">
          <cell r="H15" t="str">
            <v>AK Jha</v>
          </cell>
        </row>
        <row r="16">
          <cell r="H16" t="str">
            <v>Uday</v>
          </cell>
        </row>
        <row r="17">
          <cell r="H17" t="str">
            <v>Lalit Kumar Mandal</v>
          </cell>
        </row>
        <row r="18">
          <cell r="H18" t="str">
            <v>Praveen Kumar</v>
          </cell>
        </row>
        <row r="19">
          <cell r="H19" t="str">
            <v>Nitesh Azad</v>
          </cell>
        </row>
        <row r="20">
          <cell r="H20" t="str">
            <v>Sharad Srivastava</v>
          </cell>
        </row>
        <row r="21">
          <cell r="H21" t="str">
            <v>Sanjay Kotnala</v>
          </cell>
        </row>
        <row r="22">
          <cell r="H22" t="str">
            <v>Satyapal</v>
          </cell>
        </row>
        <row r="23">
          <cell r="H23" t="str">
            <v>Trilok Singh</v>
          </cell>
        </row>
        <row r="24">
          <cell r="H24" t="str">
            <v>Shailesh Kumar Khare</v>
          </cell>
        </row>
        <row r="25">
          <cell r="H25" t="str">
            <v>Nagendra Nath</v>
          </cell>
        </row>
        <row r="26">
          <cell r="H26" t="str">
            <v xml:space="preserve">Sanjay Kumar </v>
          </cell>
        </row>
        <row r="27">
          <cell r="H27" t="str">
            <v>L.B Singh</v>
          </cell>
        </row>
        <row r="28">
          <cell r="H28" t="str">
            <v>G manoj Kumar</v>
          </cell>
        </row>
        <row r="29">
          <cell r="H29" t="str">
            <v>Jitendra kumar sharma</v>
          </cell>
        </row>
        <row r="30">
          <cell r="H30" t="str">
            <v>Ashwini Kr</v>
          </cell>
        </row>
        <row r="31">
          <cell r="H31" t="str">
            <v>BP Singh</v>
          </cell>
        </row>
        <row r="32">
          <cell r="H32" t="str">
            <v>Amit K Singh</v>
          </cell>
        </row>
        <row r="33">
          <cell r="H33" t="str">
            <v>Rajiv Pandey</v>
          </cell>
        </row>
        <row r="34">
          <cell r="H34" t="str">
            <v>Surender Kumar</v>
          </cell>
        </row>
        <row r="35">
          <cell r="H35" t="str">
            <v>Dev Raj Singh</v>
          </cell>
        </row>
        <row r="36">
          <cell r="H36" t="str">
            <v>Badri Narayan</v>
          </cell>
        </row>
        <row r="37">
          <cell r="H37" t="str">
            <v>Yogesh Singh</v>
          </cell>
        </row>
        <row r="38">
          <cell r="H38" t="str">
            <v>RAJ Kumar</v>
          </cell>
        </row>
        <row r="39">
          <cell r="H39" t="str">
            <v>Hemant</v>
          </cell>
        </row>
        <row r="40">
          <cell r="H40" t="str">
            <v>Vijayeta Dhiran</v>
          </cell>
        </row>
        <row r="41">
          <cell r="H41" t="str">
            <v>Sandeep Kumar</v>
          </cell>
        </row>
        <row r="42">
          <cell r="H42" t="str">
            <v>Suman Kumar</v>
          </cell>
        </row>
        <row r="43">
          <cell r="H43" t="str">
            <v xml:space="preserve">Rajesh Kumar </v>
          </cell>
        </row>
        <row r="44">
          <cell r="H44" t="str">
            <v>Naveen  Meena</v>
          </cell>
        </row>
        <row r="45">
          <cell r="H45" t="str">
            <v>Anju Wadhwa</v>
          </cell>
        </row>
        <row r="46">
          <cell r="H46" t="str">
            <v>Bharat Kumar</v>
          </cell>
        </row>
        <row r="47">
          <cell r="H47" t="str">
            <v>K S Sekhawat</v>
          </cell>
        </row>
        <row r="48">
          <cell r="H48" t="str">
            <v>Shambhu Gupta</v>
          </cell>
        </row>
        <row r="49">
          <cell r="H49" t="str">
            <v>Kaushal Kishore</v>
          </cell>
        </row>
        <row r="50">
          <cell r="H50" t="str">
            <v>Navin Chandra Lal</v>
          </cell>
        </row>
        <row r="52">
          <cell r="H52" t="str">
            <v>Sanjeev kumar</v>
          </cell>
        </row>
        <row r="53">
          <cell r="H53" t="str">
            <v>Yathendra Gujjar</v>
          </cell>
        </row>
        <row r="54">
          <cell r="H54" t="str">
            <v>Jaipal</v>
          </cell>
        </row>
        <row r="55">
          <cell r="H55" t="str">
            <v>Ashish Aggarwal</v>
          </cell>
        </row>
        <row r="56">
          <cell r="H56" t="str">
            <v>E V Johney</v>
          </cell>
        </row>
        <row r="57">
          <cell r="H57" t="str">
            <v>Sanjeev K Singh</v>
          </cell>
        </row>
        <row r="59">
          <cell r="H59" t="str">
            <v>Manoj Kumar-ii</v>
          </cell>
        </row>
        <row r="60">
          <cell r="H60" t="str">
            <v>Diwakar Dabral</v>
          </cell>
        </row>
        <row r="61">
          <cell r="H61" t="str">
            <v>RamKumar</v>
          </cell>
        </row>
        <row r="62">
          <cell r="H62" t="str">
            <v>Yadvendra Bahadudr Yadav</v>
          </cell>
        </row>
        <row r="63">
          <cell r="H63" t="str">
            <v>Ajay Kr -1</v>
          </cell>
        </row>
        <row r="64">
          <cell r="H64" t="str">
            <v>Ajit Kr. Sahoo</v>
          </cell>
        </row>
        <row r="65">
          <cell r="H65" t="str">
            <v>Rajiv Jha</v>
          </cell>
        </row>
        <row r="66">
          <cell r="H66" t="str">
            <v>Vikas Yadav</v>
          </cell>
        </row>
        <row r="67">
          <cell r="H67" t="str">
            <v>G K Narayan</v>
          </cell>
        </row>
        <row r="68">
          <cell r="H68" t="str">
            <v>R K Dhiman</v>
          </cell>
        </row>
        <row r="69">
          <cell r="H69" t="str">
            <v>Sudhakar Kumar</v>
          </cell>
        </row>
        <row r="70">
          <cell r="H70" t="str">
            <v>Pradeep Kumar</v>
          </cell>
        </row>
        <row r="71">
          <cell r="H71" t="str">
            <v>H P Mishra</v>
          </cell>
        </row>
        <row r="72">
          <cell r="H72" t="str">
            <v>Manoj Yadav</v>
          </cell>
        </row>
        <row r="73">
          <cell r="H73" t="str">
            <v>Mahender Meena</v>
          </cell>
        </row>
        <row r="74">
          <cell r="H74" t="str">
            <v>Jay Ram Kumar</v>
          </cell>
        </row>
        <row r="75">
          <cell r="H75" t="str">
            <v>Alankar</v>
          </cell>
        </row>
        <row r="76">
          <cell r="H76" t="str">
            <v>Niranjan</v>
          </cell>
        </row>
        <row r="77">
          <cell r="H77" t="str">
            <v>Rajnish Kumar</v>
          </cell>
        </row>
        <row r="78">
          <cell r="H78" t="str">
            <v>B R Bharti</v>
          </cell>
        </row>
        <row r="79">
          <cell r="H79" t="str">
            <v>Asim Kant</v>
          </cell>
        </row>
        <row r="80">
          <cell r="H80" t="str">
            <v>Ajith Kr</v>
          </cell>
        </row>
        <row r="81">
          <cell r="H81" t="str">
            <v>Daya Ram</v>
          </cell>
        </row>
        <row r="82">
          <cell r="H82" t="str">
            <v xml:space="preserve">Kanhaiya Kishore </v>
          </cell>
        </row>
        <row r="83">
          <cell r="H83" t="str">
            <v>S P Gupta</v>
          </cell>
        </row>
        <row r="84">
          <cell r="H84" t="str">
            <v>Shiv kumar singh</v>
          </cell>
        </row>
        <row r="85">
          <cell r="H85" t="str">
            <v>Manoj Kumar</v>
          </cell>
        </row>
        <row r="86">
          <cell r="H86" t="str">
            <v>Md Mehdi Imam</v>
          </cell>
        </row>
        <row r="87">
          <cell r="H87" t="str">
            <v>Abhishek Sharma</v>
          </cell>
        </row>
        <row r="88">
          <cell r="H88" t="str">
            <v>Ajay K Singh</v>
          </cell>
        </row>
        <row r="89">
          <cell r="H89" t="str">
            <v>R K Kanoujia</v>
          </cell>
        </row>
        <row r="90">
          <cell r="H90" t="str">
            <v>Arvind Kumar</v>
          </cell>
        </row>
        <row r="91">
          <cell r="H91" t="str">
            <v>Dheerendra Kumkar</v>
          </cell>
        </row>
        <row r="92">
          <cell r="H92" t="str">
            <v>A K Das</v>
          </cell>
        </row>
        <row r="93">
          <cell r="H93" t="str">
            <v>Akhilesh Ranjan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n TT"/>
      <sheetName val="Sun Link 08.12.24"/>
      <sheetName val="A3 Print"/>
      <sheetName val="CRRC"/>
      <sheetName val="L2_BEIT_APTS_SUN_08_MINS"/>
      <sheetName val="HDWAY"/>
      <sheetName val="Sun TT 11.10.2026"/>
      <sheetName val="Sun Link CRRC"/>
      <sheetName val="Sun iD Chart"/>
    </sheetNames>
    <sheetDataSet>
      <sheetData sheetId="0"/>
      <sheetData sheetId="1"/>
      <sheetData sheetId="2"/>
      <sheetData sheetId="3">
        <row r="16">
          <cell r="AL16">
            <v>0.10000000000000009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98"/>
  <sheetViews>
    <sheetView tabSelected="1" view="pageBreakPreview" zoomScale="70" zoomScaleNormal="70" zoomScaleSheetLayoutView="70" workbookViewId="0">
      <pane ySplit="2" topLeftCell="A54" activePane="bottomLeft" state="frozen"/>
      <selection sqref="A1:Z1"/>
      <selection pane="bottomLeft" activeCell="M67" sqref="M67"/>
    </sheetView>
  </sheetViews>
  <sheetFormatPr defaultRowHeight="15" x14ac:dyDescent="0.25"/>
  <cols>
    <col min="1" max="1" width="6.42578125" style="53" customWidth="1"/>
    <col min="2" max="2" width="7.140625" style="53" customWidth="1"/>
    <col min="3" max="3" width="11" style="51" customWidth="1"/>
    <col min="4" max="4" width="7.5703125" style="53" customWidth="1"/>
    <col min="5" max="6" width="6.85546875" style="53" customWidth="1"/>
    <col min="7" max="7" width="6.85546875" style="51" customWidth="1"/>
    <col min="8" max="8" width="10.7109375" style="53" customWidth="1"/>
    <col min="9" max="9" width="7.28515625" style="3" customWidth="1"/>
    <col min="10" max="10" width="1.28515625" style="3" customWidth="1"/>
    <col min="11" max="11" width="10" style="3" customWidth="1"/>
    <col min="12" max="12" width="7.5703125" style="3" customWidth="1"/>
    <col min="13" max="15" width="6.85546875" style="3" customWidth="1"/>
    <col min="16" max="16" width="10.85546875" style="3" customWidth="1"/>
    <col min="17" max="17" width="7.28515625" style="3" customWidth="1"/>
    <col min="18" max="18" width="1.28515625" style="3" customWidth="1"/>
    <col min="19" max="19" width="10.5703125" style="3" customWidth="1"/>
    <col min="20" max="20" width="7.5703125" style="3" customWidth="1"/>
    <col min="21" max="23" width="6.85546875" style="3" customWidth="1"/>
    <col min="24" max="24" width="10.7109375" style="3" customWidth="1"/>
    <col min="25" max="25" width="7.28515625" style="3" customWidth="1"/>
    <col min="26" max="26" width="1.28515625" style="3" customWidth="1"/>
    <col min="27" max="27" width="10.5703125" style="3" customWidth="1"/>
    <col min="28" max="28" width="6.28515625" style="3" customWidth="1"/>
    <col min="29" max="29" width="7.7109375" style="3" customWidth="1"/>
    <col min="30" max="30" width="7.5703125" style="3" customWidth="1"/>
    <col min="31" max="31" width="6.28515625" style="3" customWidth="1"/>
    <col min="32" max="32" width="10.7109375" style="3" customWidth="1"/>
    <col min="33" max="33" width="7.140625" style="3" customWidth="1"/>
    <col min="34" max="34" width="8.5703125" style="3" customWidth="1"/>
    <col min="35" max="35" width="6.85546875" style="1" customWidth="1"/>
    <col min="36" max="36" width="8.85546875" style="3" customWidth="1"/>
    <col min="37" max="37" width="8.5703125" style="3" customWidth="1"/>
    <col min="38" max="38" width="10" style="3" customWidth="1"/>
    <col min="39" max="39" width="11" style="3" customWidth="1"/>
    <col min="40" max="40" width="8.5703125" style="3" customWidth="1"/>
    <col min="41" max="16384" width="9.140625" style="3"/>
  </cols>
  <sheetData>
    <row r="1" spans="1:45" ht="30" customHeigh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1"/>
      <c r="AL1" s="2"/>
      <c r="AM1" s="2"/>
      <c r="AN1" s="1"/>
    </row>
    <row r="2" spans="1:45" ht="34.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/>
      <c r="K2" s="4" t="s">
        <v>10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  <c r="R2" s="4"/>
      <c r="S2" s="4" t="s">
        <v>10</v>
      </c>
      <c r="T2" s="4" t="s">
        <v>4</v>
      </c>
      <c r="U2" s="4" t="s">
        <v>5</v>
      </c>
      <c r="V2" s="4" t="s">
        <v>6</v>
      </c>
      <c r="W2" s="4" t="s">
        <v>7</v>
      </c>
      <c r="X2" s="4" t="s">
        <v>8</v>
      </c>
      <c r="Y2" s="4" t="s">
        <v>9</v>
      </c>
      <c r="Z2" s="4"/>
      <c r="AA2" s="4" t="s">
        <v>10</v>
      </c>
      <c r="AB2" s="4" t="s">
        <v>4</v>
      </c>
      <c r="AC2" s="4" t="s">
        <v>5</v>
      </c>
      <c r="AD2" s="4" t="s">
        <v>6</v>
      </c>
      <c r="AE2" s="4" t="s">
        <v>7</v>
      </c>
      <c r="AF2" s="4" t="s">
        <v>8</v>
      </c>
      <c r="AG2" s="4" t="s">
        <v>11</v>
      </c>
      <c r="AH2" s="4" t="s">
        <v>12</v>
      </c>
      <c r="AI2" s="4" t="s">
        <v>13</v>
      </c>
      <c r="AJ2" s="4" t="s">
        <v>14</v>
      </c>
      <c r="AK2" s="4" t="s">
        <v>15</v>
      </c>
      <c r="AL2" s="5" t="s">
        <v>16</v>
      </c>
      <c r="AM2" s="4" t="s">
        <v>17</v>
      </c>
      <c r="AN2" s="4" t="s">
        <v>18</v>
      </c>
    </row>
    <row r="3" spans="1:45" s="1" customFormat="1" ht="26.25" customHeight="1" x14ac:dyDescent="0.25">
      <c r="A3" s="6">
        <v>1</v>
      </c>
      <c r="B3" s="7">
        <v>0.25</v>
      </c>
      <c r="C3" s="6" t="s">
        <v>19</v>
      </c>
      <c r="D3" s="8" t="s">
        <v>20</v>
      </c>
      <c r="E3" s="9"/>
      <c r="F3" s="10"/>
      <c r="G3" s="11"/>
      <c r="H3" s="10"/>
      <c r="I3" s="10"/>
      <c r="J3" s="10"/>
      <c r="K3" s="10"/>
      <c r="L3" s="8" t="s">
        <v>20</v>
      </c>
      <c r="M3" s="10"/>
      <c r="N3" s="10"/>
      <c r="O3" s="11"/>
      <c r="P3" s="10"/>
      <c r="Q3" s="10"/>
      <c r="R3" s="10"/>
      <c r="S3" s="10"/>
      <c r="T3" s="8" t="s">
        <v>20</v>
      </c>
      <c r="U3" s="10"/>
      <c r="V3" s="10"/>
      <c r="W3" s="11"/>
      <c r="X3" s="10"/>
      <c r="Y3" s="10"/>
      <c r="Z3" s="10"/>
      <c r="AA3" s="12"/>
      <c r="AB3" s="8" t="s">
        <v>20</v>
      </c>
      <c r="AC3" s="12"/>
      <c r="AD3" s="12"/>
      <c r="AE3" s="12"/>
      <c r="AF3" s="12"/>
      <c r="AG3" s="13">
        <f>B3+TIME(8,0,0)</f>
        <v>0.58333333333333326</v>
      </c>
      <c r="AH3" s="6" t="s">
        <v>21</v>
      </c>
      <c r="AI3" s="12"/>
      <c r="AJ3" s="7"/>
      <c r="AK3" s="14">
        <f>MOD((AG3-B3),1)</f>
        <v>0.33333333333333326</v>
      </c>
      <c r="AL3" s="15"/>
      <c r="AM3" s="16"/>
      <c r="AN3" s="17" t="s">
        <v>22</v>
      </c>
      <c r="AP3" s="2"/>
      <c r="AQ3" s="18"/>
      <c r="AR3" s="2"/>
      <c r="AS3" s="2"/>
    </row>
    <row r="4" spans="1:45" s="1" customFormat="1" ht="26.25" customHeight="1" x14ac:dyDescent="0.25">
      <c r="A4" s="6">
        <v>2</v>
      </c>
      <c r="B4" s="7">
        <v>0.26041666666666669</v>
      </c>
      <c r="C4" s="6" t="s">
        <v>23</v>
      </c>
      <c r="D4" s="8" t="s">
        <v>24</v>
      </c>
      <c r="E4" s="13"/>
      <c r="F4" s="19"/>
      <c r="G4" s="14"/>
      <c r="H4" s="17"/>
      <c r="I4" s="14"/>
      <c r="J4" s="17"/>
      <c r="K4" s="17"/>
      <c r="L4" s="8" t="s">
        <v>24</v>
      </c>
      <c r="M4" s="14"/>
      <c r="N4" s="14"/>
      <c r="O4" s="14"/>
      <c r="P4" s="17"/>
      <c r="Q4" s="7"/>
      <c r="R4" s="17"/>
      <c r="S4" s="17"/>
      <c r="T4" s="8" t="s">
        <v>24</v>
      </c>
      <c r="U4" s="17"/>
      <c r="V4" s="17"/>
      <c r="W4" s="14"/>
      <c r="X4" s="17"/>
      <c r="Y4" s="17"/>
      <c r="Z4" s="17"/>
      <c r="AA4" s="12"/>
      <c r="AB4" s="8" t="s">
        <v>24</v>
      </c>
      <c r="AC4" s="12"/>
      <c r="AD4" s="12"/>
      <c r="AE4" s="12"/>
      <c r="AF4" s="20"/>
      <c r="AG4" s="13">
        <f>B4+TIME(8,0,0)</f>
        <v>0.59375</v>
      </c>
      <c r="AH4" s="17" t="s">
        <v>19</v>
      </c>
      <c r="AI4" s="14"/>
      <c r="AJ4" s="7"/>
      <c r="AK4" s="14">
        <f t="shared" ref="AK4:AK57" si="0">MOD((AG4-B4),1)</f>
        <v>0.33333333333333331</v>
      </c>
      <c r="AL4" s="15"/>
      <c r="AM4" s="15"/>
      <c r="AN4" s="17" t="s">
        <v>25</v>
      </c>
    </row>
    <row r="5" spans="1:45" ht="26.25" customHeight="1" x14ac:dyDescent="0.25">
      <c r="A5" s="6">
        <v>3</v>
      </c>
      <c r="B5" s="7">
        <v>0.27777777777777779</v>
      </c>
      <c r="C5" s="17" t="s">
        <v>26</v>
      </c>
      <c r="D5" s="17">
        <v>201</v>
      </c>
      <c r="E5" s="21">
        <v>0.2902777777777778</v>
      </c>
      <c r="F5" s="14">
        <v>0.35638888888888898</v>
      </c>
      <c r="G5" s="14">
        <f>F5-E5</f>
        <v>6.6111111111111176E-2</v>
      </c>
      <c r="H5" s="14"/>
      <c r="I5" s="7">
        <f>M5-F5</f>
        <v>1.5972222222222165E-2</v>
      </c>
      <c r="J5" s="17"/>
      <c r="K5" s="20"/>
      <c r="L5" s="17">
        <v>208</v>
      </c>
      <c r="M5" s="14">
        <v>0.37236111111111114</v>
      </c>
      <c r="N5" s="14">
        <v>0.4695833333333323</v>
      </c>
      <c r="O5" s="14">
        <f>N5-M5</f>
        <v>9.7222222222221155E-2</v>
      </c>
      <c r="P5" s="20"/>
      <c r="Q5" s="7">
        <f>U5-N5</f>
        <v>2.083333333333498E-2</v>
      </c>
      <c r="R5" s="14"/>
      <c r="S5" s="20"/>
      <c r="T5" s="17">
        <v>211</v>
      </c>
      <c r="U5" s="14">
        <v>0.49041666666666728</v>
      </c>
      <c r="V5" s="14">
        <v>0.58902777777778292</v>
      </c>
      <c r="W5" s="14">
        <f>V5-U5</f>
        <v>9.8611111111115646E-2</v>
      </c>
      <c r="X5" s="20"/>
      <c r="Y5" s="20"/>
      <c r="Z5" s="20"/>
      <c r="AA5" s="17"/>
      <c r="AB5" s="12"/>
      <c r="AC5" s="20"/>
      <c r="AD5" s="20"/>
      <c r="AE5" s="20"/>
      <c r="AF5" s="17"/>
      <c r="AG5" s="13">
        <v>0.59375</v>
      </c>
      <c r="AH5" s="17" t="s">
        <v>19</v>
      </c>
      <c r="AI5" s="13"/>
      <c r="AJ5" s="7">
        <f>G5+O5+W5+AE5</f>
        <v>0.26194444444444798</v>
      </c>
      <c r="AK5" s="14">
        <f t="shared" si="0"/>
        <v>0.31597222222222221</v>
      </c>
      <c r="AL5" s="22">
        <f>I5+Q5</f>
        <v>3.6805555555557146E-2</v>
      </c>
      <c r="AM5" s="23"/>
      <c r="AN5" s="24"/>
    </row>
    <row r="6" spans="1:45" ht="26.25" customHeight="1" x14ac:dyDescent="0.25">
      <c r="A6" s="6">
        <v>4</v>
      </c>
      <c r="B6" s="7">
        <f>E6-TIME(0,15,0)</f>
        <v>0.28125</v>
      </c>
      <c r="C6" s="17" t="s">
        <v>27</v>
      </c>
      <c r="D6" s="17">
        <v>213</v>
      </c>
      <c r="E6" s="14">
        <v>0.29166666666666669</v>
      </c>
      <c r="F6" s="14">
        <v>0.3263888888888889</v>
      </c>
      <c r="G6" s="14">
        <f>F6-E6</f>
        <v>3.472222222222221E-2</v>
      </c>
      <c r="H6" s="25" t="s">
        <v>28</v>
      </c>
      <c r="I6" s="7">
        <f>M6-F6</f>
        <v>2.9861111111111116E-2</v>
      </c>
      <c r="J6" s="17"/>
      <c r="K6" s="20"/>
      <c r="L6" s="17">
        <v>201</v>
      </c>
      <c r="M6" s="14">
        <v>0.35625000000000001</v>
      </c>
      <c r="N6" s="14">
        <v>0.45555555555555555</v>
      </c>
      <c r="O6" s="14">
        <f>N6-M6</f>
        <v>9.9305555555555536E-2</v>
      </c>
      <c r="P6" s="20"/>
      <c r="Q6" s="7">
        <f>U6-N6</f>
        <v>2.7916666666666756E-2</v>
      </c>
      <c r="R6" s="17"/>
      <c r="S6" s="20"/>
      <c r="T6" s="17">
        <v>210</v>
      </c>
      <c r="U6" s="14">
        <v>0.4834722222222223</v>
      </c>
      <c r="V6" s="14">
        <v>0.58333333333333337</v>
      </c>
      <c r="W6" s="14">
        <f>V6-U6</f>
        <v>9.9861111111111067E-2</v>
      </c>
      <c r="X6" s="20"/>
      <c r="Y6" s="20"/>
      <c r="Z6" s="20"/>
      <c r="AA6" s="17"/>
      <c r="AB6" s="20"/>
      <c r="AC6" s="20"/>
      <c r="AD6" s="20"/>
      <c r="AE6" s="20"/>
      <c r="AF6" s="17"/>
      <c r="AG6" s="13">
        <v>0.59027777777777779</v>
      </c>
      <c r="AH6" s="17" t="s">
        <v>19</v>
      </c>
      <c r="AI6" s="13"/>
      <c r="AJ6" s="7">
        <f t="shared" ref="AJ6:AJ56" si="1">G6+O6+W6+AE6</f>
        <v>0.23388888888888881</v>
      </c>
      <c r="AK6" s="14">
        <f t="shared" si="0"/>
        <v>0.30902777777777779</v>
      </c>
      <c r="AL6" s="22">
        <f>I6+Q6</f>
        <v>5.7777777777777872E-2</v>
      </c>
      <c r="AM6" s="23"/>
      <c r="AN6" s="26"/>
    </row>
    <row r="7" spans="1:45" ht="26.25" customHeight="1" x14ac:dyDescent="0.25">
      <c r="A7" s="6">
        <v>5</v>
      </c>
      <c r="B7" s="7">
        <v>0.28819444444444448</v>
      </c>
      <c r="C7" s="14" t="s">
        <v>29</v>
      </c>
      <c r="D7" s="17">
        <v>208</v>
      </c>
      <c r="E7" s="21">
        <v>0.30069444444444443</v>
      </c>
      <c r="F7" s="14">
        <v>0.37236111111111114</v>
      </c>
      <c r="G7" s="14">
        <f>F7-E7</f>
        <v>7.1666666666666712E-2</v>
      </c>
      <c r="H7" s="14"/>
      <c r="I7" s="7">
        <f>M7-F7</f>
        <v>2.0833333333333148E-2</v>
      </c>
      <c r="J7" s="17"/>
      <c r="K7" s="20"/>
      <c r="L7" s="17">
        <v>211</v>
      </c>
      <c r="M7" s="14">
        <v>0.39319444444444429</v>
      </c>
      <c r="N7" s="14">
        <v>0.49041666666666728</v>
      </c>
      <c r="O7" s="14">
        <f>N7-M7</f>
        <v>9.7222222222222987E-2</v>
      </c>
      <c r="P7" s="20"/>
      <c r="Q7" s="7">
        <f>U7-N7</f>
        <v>2.0833333333332926E-2</v>
      </c>
      <c r="R7" s="17"/>
      <c r="S7" s="20"/>
      <c r="T7" s="17">
        <v>203</v>
      </c>
      <c r="U7" s="14">
        <v>0.5112500000000002</v>
      </c>
      <c r="V7" s="14">
        <v>0.61125000000000795</v>
      </c>
      <c r="W7" s="14">
        <f>V7-U7</f>
        <v>0.10000000000000775</v>
      </c>
      <c r="X7" s="20"/>
      <c r="Y7" s="20"/>
      <c r="Z7" s="20"/>
      <c r="AA7" s="12"/>
      <c r="AB7" s="20"/>
      <c r="AC7" s="20"/>
      <c r="AD7" s="20"/>
      <c r="AE7" s="20"/>
      <c r="AF7" s="20"/>
      <c r="AG7" s="13">
        <f>B7+TIME(8,0,0)</f>
        <v>0.62152777777777779</v>
      </c>
      <c r="AH7" s="17" t="s">
        <v>19</v>
      </c>
      <c r="AI7" s="13"/>
      <c r="AJ7" s="7">
        <f t="shared" si="1"/>
        <v>0.26888888888889745</v>
      </c>
      <c r="AK7" s="14">
        <f t="shared" si="0"/>
        <v>0.33333333333333331</v>
      </c>
      <c r="AL7" s="22"/>
      <c r="AM7" s="23"/>
      <c r="AN7" s="26"/>
    </row>
    <row r="8" spans="1:45" ht="26.25" customHeight="1" x14ac:dyDescent="0.25">
      <c r="A8" s="6"/>
      <c r="B8" s="7"/>
      <c r="C8" s="14"/>
      <c r="D8" s="17"/>
      <c r="E8" s="21"/>
      <c r="F8" s="14"/>
      <c r="G8" s="14"/>
      <c r="H8" s="14"/>
      <c r="I8" s="7"/>
      <c r="J8" s="17"/>
      <c r="K8" s="20"/>
      <c r="L8" s="17"/>
      <c r="M8" s="14"/>
      <c r="N8" s="14"/>
      <c r="O8" s="14"/>
      <c r="P8" s="20"/>
      <c r="Q8" s="7"/>
      <c r="R8" s="17"/>
      <c r="S8" s="20"/>
      <c r="T8" s="17"/>
      <c r="U8" s="14"/>
      <c r="V8" s="14"/>
      <c r="W8" s="14"/>
      <c r="X8" s="20"/>
      <c r="Y8" s="20"/>
      <c r="Z8" s="20"/>
      <c r="AA8" s="12"/>
      <c r="AB8" s="20"/>
      <c r="AC8" s="20"/>
      <c r="AD8" s="20"/>
      <c r="AE8" s="20"/>
      <c r="AF8" s="20"/>
      <c r="AG8" s="13"/>
      <c r="AH8" s="17"/>
      <c r="AI8" s="13"/>
      <c r="AJ8" s="7"/>
      <c r="AK8" s="14"/>
      <c r="AL8" s="22"/>
      <c r="AM8" s="23"/>
      <c r="AN8" s="26"/>
    </row>
    <row r="9" spans="1:45" ht="26.25" customHeight="1" x14ac:dyDescent="0.25">
      <c r="A9" s="6">
        <v>6</v>
      </c>
      <c r="B9" s="7">
        <f>E9-TIME(0,15,0)</f>
        <v>0.29513888888888884</v>
      </c>
      <c r="C9" s="17" t="s">
        <v>29</v>
      </c>
      <c r="D9" s="17">
        <v>209</v>
      </c>
      <c r="E9" s="21">
        <v>0.30555555555555552</v>
      </c>
      <c r="F9" s="14">
        <v>0.37930555555555528</v>
      </c>
      <c r="G9" s="14">
        <f t="shared" ref="G9:G14" si="2">F9-E9</f>
        <v>7.374999999999976E-2</v>
      </c>
      <c r="H9" s="14"/>
      <c r="I9" s="7">
        <f t="shared" ref="I9:I14" si="3">M9-F9</f>
        <v>2.7777777777778012E-2</v>
      </c>
      <c r="J9" s="17"/>
      <c r="K9" s="20"/>
      <c r="L9" s="17">
        <v>202</v>
      </c>
      <c r="M9" s="14">
        <v>0.4070833333333333</v>
      </c>
      <c r="N9" s="14">
        <v>0.50430555555555512</v>
      </c>
      <c r="O9" s="14">
        <f t="shared" ref="O9:O14" si="4">N9-M9</f>
        <v>9.7222222222221821E-2</v>
      </c>
      <c r="P9" s="20"/>
      <c r="Q9" s="7">
        <f t="shared" ref="Q9:Q14" si="5">U9-N9</f>
        <v>2.4166666666667114E-2</v>
      </c>
      <c r="R9" s="14"/>
      <c r="S9" s="14" t="s">
        <v>29</v>
      </c>
      <c r="T9" s="17">
        <v>217</v>
      </c>
      <c r="U9" s="21">
        <v>0.52847222222222223</v>
      </c>
      <c r="V9" s="14">
        <v>0.60569444444445086</v>
      </c>
      <c r="W9" s="14">
        <f t="shared" ref="W9:W14" si="6">V9-U9</f>
        <v>7.7222222222228631E-2</v>
      </c>
      <c r="X9" s="20"/>
      <c r="Y9" s="17"/>
      <c r="Z9" s="17"/>
      <c r="AA9" s="17"/>
      <c r="AB9" s="17"/>
      <c r="AC9" s="17"/>
      <c r="AD9" s="17"/>
      <c r="AE9" s="17"/>
      <c r="AF9" s="17"/>
      <c r="AG9" s="13">
        <v>0.61111111111111105</v>
      </c>
      <c r="AH9" s="17" t="s">
        <v>19</v>
      </c>
      <c r="AI9" s="13"/>
      <c r="AJ9" s="7">
        <f t="shared" si="1"/>
        <v>0.24819444444445021</v>
      </c>
      <c r="AK9" s="14">
        <f t="shared" si="0"/>
        <v>0.31597222222222221</v>
      </c>
      <c r="AL9" s="22">
        <f>I9+Q9</f>
        <v>5.1944444444445126E-2</v>
      </c>
      <c r="AM9" s="23"/>
      <c r="AN9" s="24"/>
    </row>
    <row r="10" spans="1:45" ht="26.25" customHeight="1" x14ac:dyDescent="0.25">
      <c r="A10" s="6">
        <v>7</v>
      </c>
      <c r="B10" s="7">
        <v>0.2986111111111111</v>
      </c>
      <c r="C10" s="14" t="s">
        <v>29</v>
      </c>
      <c r="D10" s="17">
        <v>210</v>
      </c>
      <c r="E10" s="21">
        <v>0.31041666666666667</v>
      </c>
      <c r="F10" s="14">
        <v>0.38625000000000032</v>
      </c>
      <c r="G10" s="14">
        <f t="shared" si="2"/>
        <v>7.5833333333333641E-2</v>
      </c>
      <c r="H10" s="14"/>
      <c r="I10" s="7">
        <f t="shared" si="3"/>
        <v>2.7777777777776957E-2</v>
      </c>
      <c r="J10" s="17"/>
      <c r="K10" s="20"/>
      <c r="L10" s="17">
        <v>203</v>
      </c>
      <c r="M10" s="14">
        <v>0.41402777777777727</v>
      </c>
      <c r="N10" s="14">
        <v>0.5112500000000002</v>
      </c>
      <c r="O10" s="14">
        <f t="shared" si="4"/>
        <v>9.7222222222222932E-2</v>
      </c>
      <c r="P10" s="20"/>
      <c r="Q10" s="7">
        <f t="shared" si="5"/>
        <v>2.0833333333332704E-2</v>
      </c>
      <c r="R10" s="17"/>
      <c r="S10" s="20"/>
      <c r="T10" s="17">
        <v>205</v>
      </c>
      <c r="U10" s="14">
        <v>0.53208333333333291</v>
      </c>
      <c r="V10" s="13">
        <v>0.62777777777777777</v>
      </c>
      <c r="W10" s="14">
        <f t="shared" si="6"/>
        <v>9.5694444444444859E-2</v>
      </c>
      <c r="X10" s="17"/>
      <c r="Y10" s="17"/>
      <c r="Z10" s="17"/>
      <c r="AA10" s="17"/>
      <c r="AB10" s="17"/>
      <c r="AC10" s="17"/>
      <c r="AD10" s="17"/>
      <c r="AE10" s="17"/>
      <c r="AF10" s="17"/>
      <c r="AG10" s="13">
        <v>0.63194444444444442</v>
      </c>
      <c r="AH10" s="17" t="s">
        <v>19</v>
      </c>
      <c r="AI10" s="13"/>
      <c r="AJ10" s="7">
        <f t="shared" si="1"/>
        <v>0.26875000000000143</v>
      </c>
      <c r="AK10" s="14">
        <f t="shared" si="0"/>
        <v>0.33333333333333331</v>
      </c>
      <c r="AL10" s="22">
        <f>I10+Q10</f>
        <v>4.8611111111109662E-2</v>
      </c>
      <c r="AM10" s="23"/>
      <c r="AN10" s="24"/>
    </row>
    <row r="11" spans="1:45" ht="26.25" customHeight="1" x14ac:dyDescent="0.25">
      <c r="A11" s="6">
        <v>8</v>
      </c>
      <c r="B11" s="7">
        <v>0.2986111111111111</v>
      </c>
      <c r="C11" s="6" t="s">
        <v>19</v>
      </c>
      <c r="D11" s="17">
        <v>202</v>
      </c>
      <c r="E11" s="14">
        <v>0.31111111111111112</v>
      </c>
      <c r="F11" s="14">
        <v>0.4070833333333333</v>
      </c>
      <c r="G11" s="14">
        <f t="shared" si="2"/>
        <v>9.5972222222222181E-2</v>
      </c>
      <c r="H11" s="14"/>
      <c r="I11" s="7">
        <f t="shared" si="3"/>
        <v>2.7777777777778012E-2</v>
      </c>
      <c r="J11" s="17"/>
      <c r="K11" s="20"/>
      <c r="L11" s="17">
        <v>205</v>
      </c>
      <c r="M11" s="14">
        <v>0.43486111111111131</v>
      </c>
      <c r="N11" s="14">
        <v>0.53208333333333291</v>
      </c>
      <c r="O11" s="14">
        <f t="shared" si="4"/>
        <v>9.7222222222221599E-2</v>
      </c>
      <c r="P11" s="20"/>
      <c r="Q11" s="7">
        <f t="shared" si="5"/>
        <v>3.4583333333333743E-2</v>
      </c>
      <c r="R11" s="17"/>
      <c r="S11" s="20"/>
      <c r="T11" s="17">
        <v>208</v>
      </c>
      <c r="U11" s="14">
        <v>0.56666666666666665</v>
      </c>
      <c r="V11" s="21">
        <v>0.59097222222222223</v>
      </c>
      <c r="W11" s="14">
        <f t="shared" si="6"/>
        <v>2.430555555555558E-2</v>
      </c>
      <c r="X11" s="20"/>
      <c r="Y11" s="17"/>
      <c r="Z11" s="17"/>
      <c r="AA11" s="17"/>
      <c r="AB11" s="20"/>
      <c r="AC11" s="20"/>
      <c r="AD11" s="20"/>
      <c r="AE11" s="20"/>
      <c r="AF11" s="17"/>
      <c r="AG11" s="13">
        <v>0.59722222222222221</v>
      </c>
      <c r="AH11" s="17" t="s">
        <v>19</v>
      </c>
      <c r="AI11" s="13"/>
      <c r="AJ11" s="7">
        <f t="shared" si="1"/>
        <v>0.21749999999999936</v>
      </c>
      <c r="AK11" s="14">
        <f t="shared" si="0"/>
        <v>0.2986111111111111</v>
      </c>
      <c r="AL11" s="22"/>
      <c r="AM11" s="23"/>
      <c r="AN11" s="26"/>
    </row>
    <row r="12" spans="1:45" ht="26.25" customHeight="1" x14ac:dyDescent="0.25">
      <c r="A12" s="6">
        <v>9</v>
      </c>
      <c r="B12" s="7">
        <v>0.30555555555555552</v>
      </c>
      <c r="C12" s="14" t="s">
        <v>29</v>
      </c>
      <c r="D12" s="17">
        <v>211</v>
      </c>
      <c r="E12" s="21">
        <v>0.31736111111111115</v>
      </c>
      <c r="F12" s="14">
        <v>0.39319444444444429</v>
      </c>
      <c r="G12" s="14">
        <f t="shared" si="2"/>
        <v>7.5833333333333142E-2</v>
      </c>
      <c r="H12" s="17"/>
      <c r="I12" s="7">
        <f t="shared" si="3"/>
        <v>2.7777777777778012E-2</v>
      </c>
      <c r="J12" s="17"/>
      <c r="K12" s="20"/>
      <c r="L12" s="17">
        <v>204</v>
      </c>
      <c r="M12" s="14">
        <v>0.4209722222222223</v>
      </c>
      <c r="N12" s="14">
        <v>0.5180555555555556</v>
      </c>
      <c r="O12" s="14">
        <f t="shared" si="4"/>
        <v>9.7083333333333299E-2</v>
      </c>
      <c r="P12" s="20"/>
      <c r="Q12" s="7">
        <f t="shared" si="5"/>
        <v>2.0833333333333259E-2</v>
      </c>
      <c r="R12" s="17"/>
      <c r="S12" s="20"/>
      <c r="T12" s="17">
        <v>206</v>
      </c>
      <c r="U12" s="13">
        <v>0.53888888888888886</v>
      </c>
      <c r="V12" s="13">
        <v>0.63888888888888895</v>
      </c>
      <c r="W12" s="14">
        <f t="shared" si="6"/>
        <v>0.10000000000000009</v>
      </c>
      <c r="X12" s="17"/>
      <c r="Y12" s="17"/>
      <c r="Z12" s="17"/>
      <c r="AA12" s="17"/>
      <c r="AB12" s="17"/>
      <c r="AC12" s="17"/>
      <c r="AD12" s="17"/>
      <c r="AE12" s="17"/>
      <c r="AF12" s="17"/>
      <c r="AG12" s="13">
        <f>B12+TIME(8,0,0)</f>
        <v>0.63888888888888884</v>
      </c>
      <c r="AH12" s="17" t="s">
        <v>19</v>
      </c>
      <c r="AI12" s="13"/>
      <c r="AJ12" s="7">
        <f t="shared" si="1"/>
        <v>0.27291666666666653</v>
      </c>
      <c r="AK12" s="14">
        <f t="shared" si="0"/>
        <v>0.33333333333333331</v>
      </c>
      <c r="AL12" s="22">
        <f>I12+Q12</f>
        <v>4.8611111111111271E-2</v>
      </c>
      <c r="AM12" s="23"/>
      <c r="AN12" s="26"/>
    </row>
    <row r="13" spans="1:45" ht="26.25" customHeight="1" x14ac:dyDescent="0.25">
      <c r="A13" s="27">
        <v>10</v>
      </c>
      <c r="B13" s="7">
        <v>0.30555555555555552</v>
      </c>
      <c r="C13" s="6" t="s">
        <v>19</v>
      </c>
      <c r="D13" s="17">
        <v>203</v>
      </c>
      <c r="E13" s="14">
        <v>0.3181944444444445</v>
      </c>
      <c r="F13" s="14">
        <v>0.41402777777777727</v>
      </c>
      <c r="G13" s="14">
        <f t="shared" si="2"/>
        <v>9.5833333333332771E-2</v>
      </c>
      <c r="H13" s="14"/>
      <c r="I13" s="7">
        <f t="shared" si="3"/>
        <v>2.7777777777778012E-2</v>
      </c>
      <c r="J13" s="17"/>
      <c r="K13" s="20"/>
      <c r="L13" s="17">
        <v>206</v>
      </c>
      <c r="M13" s="14">
        <v>0.44180555555555528</v>
      </c>
      <c r="N13" s="14">
        <v>0.53902777777777688</v>
      </c>
      <c r="O13" s="14">
        <f t="shared" si="4"/>
        <v>9.7222222222221599E-2</v>
      </c>
      <c r="P13" s="20"/>
      <c r="Q13" s="7">
        <f t="shared" si="5"/>
        <v>3.333333333333699E-2</v>
      </c>
      <c r="R13" s="17"/>
      <c r="S13" s="20"/>
      <c r="T13" s="17">
        <v>209</v>
      </c>
      <c r="U13" s="14">
        <v>0.57236111111111387</v>
      </c>
      <c r="V13" s="21">
        <v>0.62313657407407408</v>
      </c>
      <c r="W13" s="14">
        <f t="shared" si="6"/>
        <v>5.0775462962960205E-2</v>
      </c>
      <c r="X13" s="12" t="s">
        <v>30</v>
      </c>
      <c r="Y13" s="20"/>
      <c r="Z13" s="20"/>
      <c r="AA13" s="20"/>
      <c r="AB13" s="20"/>
      <c r="AC13" s="20"/>
      <c r="AD13" s="20"/>
      <c r="AE13" s="20"/>
      <c r="AF13" s="20"/>
      <c r="AG13" s="13">
        <v>0.62847222222222221</v>
      </c>
      <c r="AH13" s="17" t="s">
        <v>31</v>
      </c>
      <c r="AI13" s="13"/>
      <c r="AJ13" s="7">
        <f t="shared" si="1"/>
        <v>0.24383101851851458</v>
      </c>
      <c r="AK13" s="14">
        <f t="shared" si="0"/>
        <v>0.32291666666666669</v>
      </c>
      <c r="AL13" s="22">
        <f>I13+Q13</f>
        <v>6.1111111111115002E-2</v>
      </c>
      <c r="AM13" s="23"/>
      <c r="AN13" s="26"/>
    </row>
    <row r="14" spans="1:45" ht="26.25" customHeight="1" x14ac:dyDescent="0.25">
      <c r="A14" s="6">
        <v>11</v>
      </c>
      <c r="B14" s="7">
        <f>E14-TIME(0,15,0)</f>
        <v>0.30902777777777779</v>
      </c>
      <c r="C14" s="17" t="s">
        <v>32</v>
      </c>
      <c r="D14" s="17">
        <v>206</v>
      </c>
      <c r="E14" s="14">
        <v>0.31944444444444448</v>
      </c>
      <c r="F14" s="21">
        <v>0.36736111111111108</v>
      </c>
      <c r="G14" s="14">
        <f t="shared" si="2"/>
        <v>4.7916666666666607E-2</v>
      </c>
      <c r="H14" s="14"/>
      <c r="I14" s="7">
        <f t="shared" si="3"/>
        <v>1.8888888888889233E-2</v>
      </c>
      <c r="J14" s="17"/>
      <c r="K14" s="20"/>
      <c r="L14" s="17">
        <v>210</v>
      </c>
      <c r="M14" s="14">
        <v>0.38625000000000032</v>
      </c>
      <c r="N14" s="14">
        <v>0.4834722222222223</v>
      </c>
      <c r="O14" s="14">
        <f t="shared" si="4"/>
        <v>9.7222222222221988E-2</v>
      </c>
      <c r="P14" s="20"/>
      <c r="Q14" s="7">
        <f t="shared" si="5"/>
        <v>2.0833333333332815E-2</v>
      </c>
      <c r="R14" s="17"/>
      <c r="S14" s="20"/>
      <c r="T14" s="17">
        <v>202</v>
      </c>
      <c r="U14" s="14">
        <v>0.50430555555555512</v>
      </c>
      <c r="V14" s="14">
        <v>0.60013888888889488</v>
      </c>
      <c r="W14" s="14">
        <f t="shared" si="6"/>
        <v>9.5833333333339765E-2</v>
      </c>
      <c r="X14" s="20"/>
      <c r="Y14" s="7">
        <f>AC14-V14</f>
        <v>1.666666666666905E-2</v>
      </c>
      <c r="Z14" s="20"/>
      <c r="AA14" s="12"/>
      <c r="AB14" s="17">
        <v>204</v>
      </c>
      <c r="AC14" s="14">
        <v>0.61680555555556393</v>
      </c>
      <c r="AD14" s="21">
        <v>0.64097222222222217</v>
      </c>
      <c r="AE14" s="14">
        <f>AD14-AC14</f>
        <v>2.4166666666658232E-2</v>
      </c>
      <c r="AF14" s="17" t="s">
        <v>29</v>
      </c>
      <c r="AG14" s="13">
        <f>B14+TIME(8,0,0)</f>
        <v>0.64236111111111116</v>
      </c>
      <c r="AH14" s="17" t="s">
        <v>19</v>
      </c>
      <c r="AI14" s="13"/>
      <c r="AJ14" s="7">
        <f t="shared" si="1"/>
        <v>0.26513888888888659</v>
      </c>
      <c r="AK14" s="14">
        <f t="shared" si="0"/>
        <v>0.33333333333333337</v>
      </c>
      <c r="AL14" s="22">
        <f>I14+Q14</f>
        <v>3.9722222222222048E-2</v>
      </c>
      <c r="AM14" s="23"/>
      <c r="AN14" s="24"/>
    </row>
    <row r="15" spans="1:45" ht="26.25" customHeight="1" x14ac:dyDescent="0.25">
      <c r="A15" s="6"/>
      <c r="B15" s="7"/>
      <c r="C15" s="17"/>
      <c r="D15" s="17"/>
      <c r="E15" s="14"/>
      <c r="F15" s="21"/>
      <c r="G15" s="14"/>
      <c r="H15" s="14"/>
      <c r="I15" s="7"/>
      <c r="J15" s="17"/>
      <c r="K15" s="20"/>
      <c r="L15" s="17"/>
      <c r="M15" s="14"/>
      <c r="N15" s="14"/>
      <c r="O15" s="14"/>
      <c r="P15" s="20"/>
      <c r="Q15" s="7"/>
      <c r="R15" s="17"/>
      <c r="S15" s="20"/>
      <c r="T15" s="17"/>
      <c r="U15" s="14"/>
      <c r="V15" s="14"/>
      <c r="W15" s="14"/>
      <c r="X15" s="20"/>
      <c r="Y15" s="7"/>
      <c r="Z15" s="20"/>
      <c r="AA15" s="12"/>
      <c r="AB15" s="17"/>
      <c r="AC15" s="14"/>
      <c r="AD15" s="21"/>
      <c r="AE15" s="14"/>
      <c r="AF15" s="17"/>
      <c r="AG15" s="13"/>
      <c r="AH15" s="17"/>
      <c r="AI15" s="13"/>
      <c r="AJ15" s="7"/>
      <c r="AK15" s="14"/>
      <c r="AL15" s="22"/>
      <c r="AM15" s="23"/>
      <c r="AN15" s="24"/>
    </row>
    <row r="16" spans="1:45" ht="26.25" customHeight="1" x14ac:dyDescent="0.25">
      <c r="A16" s="6">
        <v>12</v>
      </c>
      <c r="B16" s="7">
        <v>0.30902777777777779</v>
      </c>
      <c r="C16" s="6" t="s">
        <v>33</v>
      </c>
      <c r="D16" s="17">
        <v>205</v>
      </c>
      <c r="E16" s="14">
        <v>0.3215277777777778</v>
      </c>
      <c r="F16" s="21">
        <v>0.36041666666666666</v>
      </c>
      <c r="G16" s="14">
        <f>F16-E16</f>
        <v>3.8888888888888862E-2</v>
      </c>
      <c r="H16" s="14"/>
      <c r="I16" s="7">
        <f>M16-F16</f>
        <v>1.2499999999999956E-2</v>
      </c>
      <c r="J16" s="8"/>
      <c r="K16" s="14" t="s">
        <v>29</v>
      </c>
      <c r="L16" s="17">
        <v>214</v>
      </c>
      <c r="M16" s="21">
        <v>0.37291666666666662</v>
      </c>
      <c r="N16" s="14">
        <v>0.44874999999999932</v>
      </c>
      <c r="O16" s="14">
        <f>N16-M16</f>
        <v>7.5833333333332698E-2</v>
      </c>
      <c r="P16" s="20"/>
      <c r="Q16" s="7">
        <f>U16-N16</f>
        <v>2.7777777777778512E-2</v>
      </c>
      <c r="R16" s="8"/>
      <c r="S16" s="20"/>
      <c r="T16" s="17">
        <v>209</v>
      </c>
      <c r="U16" s="14">
        <v>0.47652777777777783</v>
      </c>
      <c r="V16" s="14">
        <v>0.57222222222222219</v>
      </c>
      <c r="W16" s="14">
        <f>V16-U16</f>
        <v>9.569444444444436E-2</v>
      </c>
      <c r="X16" s="20"/>
      <c r="Y16" s="7">
        <f>AC16-V16</f>
        <v>2.2222222222222254E-2</v>
      </c>
      <c r="Z16" s="14"/>
      <c r="AA16" s="17"/>
      <c r="AB16" s="17">
        <v>212</v>
      </c>
      <c r="AC16" s="14">
        <v>0.59444444444444444</v>
      </c>
      <c r="AD16" s="21">
        <v>0.63189814814814815</v>
      </c>
      <c r="AE16" s="14">
        <f>AD16-AC16</f>
        <v>3.7453703703703711E-2</v>
      </c>
      <c r="AF16" s="17" t="s">
        <v>26</v>
      </c>
      <c r="AG16" s="13">
        <v>0.63541666666666663</v>
      </c>
      <c r="AH16" s="6" t="s">
        <v>21</v>
      </c>
      <c r="AI16" s="13"/>
      <c r="AJ16" s="7">
        <f t="shared" si="1"/>
        <v>0.24787037037036963</v>
      </c>
      <c r="AK16" s="14">
        <f t="shared" si="0"/>
        <v>0.32638888888888884</v>
      </c>
      <c r="AL16" s="22">
        <f>I16+Q16</f>
        <v>4.0277777777778467E-2</v>
      </c>
      <c r="AM16" s="23"/>
      <c r="AN16" s="26"/>
    </row>
    <row r="17" spans="1:45" ht="26.25" customHeight="1" x14ac:dyDescent="0.25">
      <c r="A17" s="6">
        <v>13</v>
      </c>
      <c r="B17" s="7">
        <v>0.3125</v>
      </c>
      <c r="C17" s="14" t="s">
        <v>29</v>
      </c>
      <c r="D17" s="17">
        <v>212</v>
      </c>
      <c r="E17" s="21">
        <v>0.32430555555555557</v>
      </c>
      <c r="F17" s="14">
        <v>0.40013888888888927</v>
      </c>
      <c r="G17" s="14">
        <f>F17-E17</f>
        <v>7.5833333333333697E-2</v>
      </c>
      <c r="H17" s="17"/>
      <c r="I17" s="7">
        <f>M17-F17</f>
        <v>2.7777777777777013E-2</v>
      </c>
      <c r="J17" s="17"/>
      <c r="K17" s="20"/>
      <c r="L17" s="17">
        <v>213</v>
      </c>
      <c r="M17" s="14">
        <v>0.42791666666666628</v>
      </c>
      <c r="N17" s="14">
        <v>0.52500000000000002</v>
      </c>
      <c r="O17" s="14">
        <f>N17-M17</f>
        <v>9.7083333333333743E-2</v>
      </c>
      <c r="P17" s="20"/>
      <c r="Q17" s="7">
        <f>U17-N17</f>
        <v>1.9583333333333064E-2</v>
      </c>
      <c r="R17" s="17"/>
      <c r="S17" s="20"/>
      <c r="T17" s="17">
        <v>214</v>
      </c>
      <c r="U17" s="14">
        <v>0.54458333333333309</v>
      </c>
      <c r="V17" s="14">
        <v>0.64444444444444449</v>
      </c>
      <c r="W17" s="14">
        <f>V17-U17</f>
        <v>9.98611111111114E-2</v>
      </c>
      <c r="X17" s="20"/>
      <c r="Y17" s="7"/>
      <c r="Z17" s="17"/>
      <c r="AA17" s="17"/>
      <c r="AB17" s="20"/>
      <c r="AC17" s="20"/>
      <c r="AD17" s="20"/>
      <c r="AE17" s="20"/>
      <c r="AF17" s="17"/>
      <c r="AG17" s="13">
        <f>B17+TIME(8,0,0)</f>
        <v>0.64583333333333326</v>
      </c>
      <c r="AH17" s="17" t="s">
        <v>19</v>
      </c>
      <c r="AI17" s="13"/>
      <c r="AJ17" s="7">
        <f t="shared" si="1"/>
        <v>0.27277777777777884</v>
      </c>
      <c r="AK17" s="14">
        <f t="shared" si="0"/>
        <v>0.33333333333333326</v>
      </c>
      <c r="AL17" s="22">
        <f>I17+Q17+Y17</f>
        <v>4.7361111111110077E-2</v>
      </c>
      <c r="AM17" s="23"/>
      <c r="AN17" s="26"/>
    </row>
    <row r="18" spans="1:45" ht="26.25" customHeight="1" x14ac:dyDescent="0.25">
      <c r="A18" s="6">
        <v>14</v>
      </c>
      <c r="B18" s="7">
        <v>0.3125</v>
      </c>
      <c r="C18" s="6" t="s">
        <v>19</v>
      </c>
      <c r="D18" s="17">
        <v>204</v>
      </c>
      <c r="E18" s="14">
        <v>0.32513888888888898</v>
      </c>
      <c r="F18" s="14">
        <v>0.4209722222222223</v>
      </c>
      <c r="G18" s="14">
        <f>F18-E18</f>
        <v>9.5833333333333326E-2</v>
      </c>
      <c r="H18" s="14"/>
      <c r="I18" s="7">
        <f>M18-F18</f>
        <v>2.7777777777777013E-2</v>
      </c>
      <c r="J18" s="17"/>
      <c r="K18" s="20"/>
      <c r="L18" s="17">
        <v>214</v>
      </c>
      <c r="M18" s="14">
        <v>0.44874999999999932</v>
      </c>
      <c r="N18" s="14">
        <v>0.54458333333333309</v>
      </c>
      <c r="O18" s="14">
        <f>N18-M18</f>
        <v>9.583333333333377E-2</v>
      </c>
      <c r="P18" s="20"/>
      <c r="Q18" s="7">
        <f>U18-N18</f>
        <v>2.8333333333333544E-2</v>
      </c>
      <c r="R18" s="17"/>
      <c r="S18" s="17" t="s">
        <v>29</v>
      </c>
      <c r="T18" s="17">
        <v>215</v>
      </c>
      <c r="U18" s="21">
        <v>0.57291666666666663</v>
      </c>
      <c r="V18" s="28">
        <v>0.63672453703703702</v>
      </c>
      <c r="W18" s="14">
        <f>V18-U18</f>
        <v>6.380787037037039E-2</v>
      </c>
      <c r="X18" s="17" t="s">
        <v>33</v>
      </c>
      <c r="Y18" s="7"/>
      <c r="Z18" s="20"/>
      <c r="AA18" s="20"/>
      <c r="AB18" s="20"/>
      <c r="AC18" s="20"/>
      <c r="AD18" s="20"/>
      <c r="AE18" s="20"/>
      <c r="AF18" s="20"/>
      <c r="AG18" s="13">
        <f>B18+TIME(8,0,0)</f>
        <v>0.64583333333333326</v>
      </c>
      <c r="AH18" s="6" t="s">
        <v>21</v>
      </c>
      <c r="AI18" s="13"/>
      <c r="AJ18" s="7">
        <f t="shared" si="1"/>
        <v>0.25547453703703749</v>
      </c>
      <c r="AK18" s="14">
        <f t="shared" si="0"/>
        <v>0.33333333333333326</v>
      </c>
      <c r="AL18" s="22">
        <f>I18+Q18+Y18</f>
        <v>5.6111111111110556E-2</v>
      </c>
      <c r="AM18" s="23"/>
      <c r="AN18" s="24"/>
      <c r="AR18" s="29"/>
    </row>
    <row r="19" spans="1:45" ht="26.25" customHeight="1" x14ac:dyDescent="0.25">
      <c r="A19" s="27">
        <v>15</v>
      </c>
      <c r="B19" s="7">
        <f>E19-TIME(0,15,0)</f>
        <v>0.31597222222222221</v>
      </c>
      <c r="C19" s="14" t="s">
        <v>28</v>
      </c>
      <c r="D19" s="17">
        <v>213</v>
      </c>
      <c r="E19" s="14">
        <v>0.3263888888888889</v>
      </c>
      <c r="F19" s="14">
        <v>0.42791666666666628</v>
      </c>
      <c r="G19" s="14">
        <f>F19-E19</f>
        <v>0.10152777777777738</v>
      </c>
      <c r="H19" s="17"/>
      <c r="I19" s="7">
        <f>M19-F19</f>
        <v>2.7777777777778012E-2</v>
      </c>
      <c r="J19" s="17"/>
      <c r="K19" s="20"/>
      <c r="L19" s="17">
        <v>201</v>
      </c>
      <c r="M19" s="14">
        <v>0.45569444444444429</v>
      </c>
      <c r="N19" s="14">
        <v>0.55555555555555558</v>
      </c>
      <c r="O19" s="14">
        <f>N19-M19</f>
        <v>9.9861111111111289E-2</v>
      </c>
      <c r="P19" s="20"/>
      <c r="Q19" s="7">
        <f>U19-N19</f>
        <v>2.2222222222222254E-2</v>
      </c>
      <c r="R19" s="17"/>
      <c r="S19" s="20"/>
      <c r="T19" s="17">
        <v>216</v>
      </c>
      <c r="U19" s="14">
        <v>0.57777777777777783</v>
      </c>
      <c r="V19" s="21">
        <v>0.6020833333333333</v>
      </c>
      <c r="W19" s="14">
        <f>V19-U19</f>
        <v>2.4305555555555469E-2</v>
      </c>
      <c r="X19" s="20"/>
      <c r="Y19" s="20"/>
      <c r="Z19" s="20"/>
      <c r="AA19" s="20"/>
      <c r="AB19" s="20"/>
      <c r="AC19" s="20"/>
      <c r="AD19" s="20"/>
      <c r="AE19" s="20"/>
      <c r="AF19" s="20"/>
      <c r="AG19" s="13">
        <v>0.60763888888888895</v>
      </c>
      <c r="AH19" s="17" t="s">
        <v>19</v>
      </c>
      <c r="AI19" s="13"/>
      <c r="AJ19" s="7">
        <f t="shared" si="1"/>
        <v>0.22569444444444414</v>
      </c>
      <c r="AK19" s="14">
        <f t="shared" si="0"/>
        <v>0.29166666666666674</v>
      </c>
      <c r="AL19" s="22">
        <f>I19+Q19</f>
        <v>5.0000000000000266E-2</v>
      </c>
      <c r="AM19" s="23"/>
      <c r="AN19" s="24"/>
    </row>
    <row r="20" spans="1:45" ht="26.25" customHeight="1" x14ac:dyDescent="0.25">
      <c r="A20" s="6">
        <v>16</v>
      </c>
      <c r="B20" s="7">
        <f>E20-TIME(0,15,0)</f>
        <v>0.32291666666666663</v>
      </c>
      <c r="C20" s="17" t="s">
        <v>34</v>
      </c>
      <c r="D20" s="17">
        <v>214</v>
      </c>
      <c r="E20" s="14">
        <v>0.33333333333333331</v>
      </c>
      <c r="F20" s="21">
        <v>0.3743055555555555</v>
      </c>
      <c r="G20" s="14">
        <f>F20-E20</f>
        <v>4.0972222222222188E-2</v>
      </c>
      <c r="H20" s="14"/>
      <c r="I20" s="7">
        <f>M20-F20</f>
        <v>2.5833333333333763E-2</v>
      </c>
      <c r="J20" s="17"/>
      <c r="K20" s="20"/>
      <c r="L20" s="17">
        <v>212</v>
      </c>
      <c r="M20" s="14">
        <v>0.40013888888888927</v>
      </c>
      <c r="N20" s="14">
        <v>0.49736111111111131</v>
      </c>
      <c r="O20" s="14">
        <f>N20-M20</f>
        <v>9.7222222222222043E-2</v>
      </c>
      <c r="P20" s="20"/>
      <c r="Q20" s="7">
        <f>U20-N20</f>
        <v>2.0833333333332871E-2</v>
      </c>
      <c r="R20" s="17"/>
      <c r="S20" s="20"/>
      <c r="T20" s="17">
        <v>204</v>
      </c>
      <c r="U20" s="14">
        <v>0.51819444444444418</v>
      </c>
      <c r="V20" s="14">
        <v>0.61680555555556393</v>
      </c>
      <c r="W20" s="14">
        <f>V20-U20</f>
        <v>9.8611111111119754E-2</v>
      </c>
      <c r="X20" s="20"/>
      <c r="Y20" s="20"/>
      <c r="Z20" s="20"/>
      <c r="AA20" s="20"/>
      <c r="AB20" s="20"/>
      <c r="AC20" s="20"/>
      <c r="AD20" s="20"/>
      <c r="AE20" s="20"/>
      <c r="AF20" s="20"/>
      <c r="AG20" s="13">
        <v>0.62152777777777779</v>
      </c>
      <c r="AH20" s="17" t="s">
        <v>19</v>
      </c>
      <c r="AI20" s="13"/>
      <c r="AJ20" s="7">
        <f t="shared" si="1"/>
        <v>0.23680555555556398</v>
      </c>
      <c r="AK20" s="14">
        <f t="shared" si="0"/>
        <v>0.29861111111111116</v>
      </c>
      <c r="AL20" s="22">
        <f>I20+Q20</f>
        <v>4.6666666666666634E-2</v>
      </c>
      <c r="AM20" s="23"/>
      <c r="AN20" s="26"/>
    </row>
    <row r="21" spans="1:45" ht="26.25" customHeight="1" x14ac:dyDescent="0.25">
      <c r="A21" s="6"/>
      <c r="B21" s="7"/>
      <c r="C21" s="17"/>
      <c r="D21" s="17"/>
      <c r="E21" s="14"/>
      <c r="F21" s="21"/>
      <c r="G21" s="14"/>
      <c r="H21" s="14"/>
      <c r="I21" s="7"/>
      <c r="J21" s="17"/>
      <c r="K21" s="20"/>
      <c r="L21" s="17"/>
      <c r="M21" s="14"/>
      <c r="N21" s="14"/>
      <c r="O21" s="14"/>
      <c r="P21" s="20"/>
      <c r="Q21" s="7"/>
      <c r="R21" s="17"/>
      <c r="S21" s="20"/>
      <c r="T21" s="17"/>
      <c r="U21" s="14"/>
      <c r="V21" s="14"/>
      <c r="W21" s="14"/>
      <c r="X21" s="20"/>
      <c r="Y21" s="20"/>
      <c r="Z21" s="20"/>
      <c r="AA21" s="20"/>
      <c r="AB21" s="20"/>
      <c r="AC21" s="20"/>
      <c r="AD21" s="20"/>
      <c r="AE21" s="20"/>
      <c r="AF21" s="20"/>
      <c r="AG21" s="13"/>
      <c r="AH21" s="17"/>
      <c r="AI21" s="13"/>
      <c r="AJ21" s="7"/>
      <c r="AK21" s="14"/>
      <c r="AL21" s="22"/>
      <c r="AM21" s="23"/>
      <c r="AN21" s="26"/>
    </row>
    <row r="22" spans="1:45" ht="26.25" customHeight="1" x14ac:dyDescent="0.25">
      <c r="A22" s="6">
        <v>17</v>
      </c>
      <c r="B22" s="7">
        <v>0.34722222222222227</v>
      </c>
      <c r="C22" s="17" t="s">
        <v>29</v>
      </c>
      <c r="D22" s="17">
        <v>205</v>
      </c>
      <c r="E22" s="21">
        <v>0.35902777777777778</v>
      </c>
      <c r="F22" s="14">
        <v>0.43486111111111131</v>
      </c>
      <c r="G22" s="14">
        <f t="shared" ref="G22:G27" si="7">F22-E22</f>
        <v>7.583333333333353E-2</v>
      </c>
      <c r="H22" s="14"/>
      <c r="I22" s="7">
        <f t="shared" ref="I22:I27" si="8">M22-F22</f>
        <v>3.4722222222220989E-2</v>
      </c>
      <c r="J22" s="17"/>
      <c r="K22" s="20"/>
      <c r="L22" s="17">
        <v>208</v>
      </c>
      <c r="M22" s="14">
        <v>0.4695833333333323</v>
      </c>
      <c r="N22" s="14">
        <v>0.56680555555555789</v>
      </c>
      <c r="O22" s="14">
        <f t="shared" ref="O22:O27" si="9">N22-M22</f>
        <v>9.7222222222225596E-2</v>
      </c>
      <c r="P22" s="20"/>
      <c r="Q22" s="7">
        <f t="shared" ref="Q22:Q27" si="10">U22-N22</f>
        <v>1.666666666666905E-2</v>
      </c>
      <c r="R22" s="14"/>
      <c r="S22" s="20"/>
      <c r="T22" s="17">
        <v>210</v>
      </c>
      <c r="U22" s="14">
        <v>0.58347222222222694</v>
      </c>
      <c r="V22" s="14">
        <v>0.6694444444444444</v>
      </c>
      <c r="W22" s="14">
        <f t="shared" ref="W22:W27" si="11">V22-U22</f>
        <v>8.5972222222217454E-2</v>
      </c>
      <c r="X22" s="17" t="s">
        <v>33</v>
      </c>
      <c r="Y22" s="17"/>
      <c r="Z22" s="17"/>
      <c r="AA22" s="20"/>
      <c r="AB22" s="20"/>
      <c r="AC22" s="20"/>
      <c r="AD22" s="20"/>
      <c r="AE22" s="20"/>
      <c r="AF22" s="20"/>
      <c r="AG22" s="13">
        <v>0.67361111111111116</v>
      </c>
      <c r="AH22" s="6" t="s">
        <v>21</v>
      </c>
      <c r="AI22" s="13"/>
      <c r="AJ22" s="7">
        <f t="shared" si="1"/>
        <v>0.25902777777777658</v>
      </c>
      <c r="AK22" s="14">
        <f t="shared" si="0"/>
        <v>0.3263888888888889</v>
      </c>
      <c r="AL22" s="22">
        <f>I22+Q22</f>
        <v>5.1388888888890039E-2</v>
      </c>
      <c r="AM22" s="23"/>
      <c r="AN22" s="26"/>
    </row>
    <row r="23" spans="1:45" ht="26.25" customHeight="1" x14ac:dyDescent="0.25">
      <c r="A23" s="6">
        <v>18</v>
      </c>
      <c r="B23" s="7">
        <v>0.35416666666666669</v>
      </c>
      <c r="C23" s="17" t="s">
        <v>29</v>
      </c>
      <c r="D23" s="17">
        <v>206</v>
      </c>
      <c r="E23" s="21">
        <v>0.3659722222222222</v>
      </c>
      <c r="F23" s="14">
        <v>0.44180555555555528</v>
      </c>
      <c r="G23" s="14">
        <f t="shared" si="7"/>
        <v>7.5833333333333086E-2</v>
      </c>
      <c r="H23" s="30"/>
      <c r="I23" s="7">
        <f t="shared" si="8"/>
        <v>3.1111111111111367E-2</v>
      </c>
      <c r="J23" s="17"/>
      <c r="K23" s="14" t="s">
        <v>29</v>
      </c>
      <c r="L23" s="17">
        <v>215</v>
      </c>
      <c r="M23" s="21">
        <v>0.47291666666666665</v>
      </c>
      <c r="N23" s="21">
        <v>0.57430555555555551</v>
      </c>
      <c r="O23" s="14">
        <f t="shared" si="9"/>
        <v>0.10138888888888886</v>
      </c>
      <c r="P23" s="14" t="s">
        <v>29</v>
      </c>
      <c r="Q23" s="7">
        <f t="shared" si="10"/>
        <v>2.5694444444444464E-2</v>
      </c>
      <c r="R23" s="17"/>
      <c r="S23" s="20"/>
      <c r="T23" s="17">
        <v>202</v>
      </c>
      <c r="U23" s="14">
        <v>0.6</v>
      </c>
      <c r="V23" s="28">
        <v>0.68672453703703706</v>
      </c>
      <c r="W23" s="14">
        <f t="shared" si="11"/>
        <v>8.6724537037037086E-2</v>
      </c>
      <c r="X23" s="17" t="s">
        <v>33</v>
      </c>
      <c r="Y23" s="17"/>
      <c r="Z23" s="17"/>
      <c r="AA23" s="20"/>
      <c r="AB23" s="20"/>
      <c r="AC23" s="20"/>
      <c r="AD23" s="20"/>
      <c r="AE23" s="20"/>
      <c r="AF23" s="20"/>
      <c r="AG23" s="13">
        <v>0.69097222222222221</v>
      </c>
      <c r="AH23" s="6" t="s">
        <v>21</v>
      </c>
      <c r="AI23" s="13"/>
      <c r="AJ23" s="7">
        <f t="shared" si="1"/>
        <v>0.26394675925925903</v>
      </c>
      <c r="AK23" s="14">
        <f t="shared" si="0"/>
        <v>0.33680555555555552</v>
      </c>
      <c r="AL23" s="22">
        <f>I23+Q23</f>
        <v>5.6805555555555831E-2</v>
      </c>
      <c r="AM23" s="23"/>
      <c r="AN23" s="26"/>
    </row>
    <row r="24" spans="1:45" ht="26.25" customHeight="1" x14ac:dyDescent="0.25">
      <c r="A24" s="6">
        <v>19</v>
      </c>
      <c r="B24" s="7">
        <v>0.36805555555555558</v>
      </c>
      <c r="C24" s="17"/>
      <c r="D24" s="17">
        <v>209</v>
      </c>
      <c r="E24" s="14">
        <v>0.37930555555555528</v>
      </c>
      <c r="F24" s="14">
        <v>0.47652777777777783</v>
      </c>
      <c r="G24" s="14">
        <f t="shared" si="7"/>
        <v>9.7222222222222543E-2</v>
      </c>
      <c r="H24" s="17"/>
      <c r="I24" s="7">
        <f t="shared" si="8"/>
        <v>2.4166666666666614E-2</v>
      </c>
      <c r="J24" s="17"/>
      <c r="K24" s="14" t="s">
        <v>29</v>
      </c>
      <c r="L24" s="17">
        <v>216</v>
      </c>
      <c r="M24" s="21">
        <v>0.50069444444444444</v>
      </c>
      <c r="N24" s="14">
        <v>0.57791666666666985</v>
      </c>
      <c r="O24" s="14">
        <f t="shared" si="9"/>
        <v>7.7222222222225412E-2</v>
      </c>
      <c r="P24" s="20"/>
      <c r="Q24" s="7">
        <f t="shared" si="10"/>
        <v>2.2777777777774566E-2</v>
      </c>
      <c r="R24" s="17"/>
      <c r="S24" s="17" t="s">
        <v>29</v>
      </c>
      <c r="T24" s="17">
        <v>216</v>
      </c>
      <c r="U24" s="21">
        <v>0.60069444444444442</v>
      </c>
      <c r="V24" s="14">
        <v>0.67791666666666595</v>
      </c>
      <c r="W24" s="14">
        <f t="shared" si="11"/>
        <v>7.7222222222221526E-2</v>
      </c>
      <c r="X24" s="20"/>
      <c r="Y24" s="20"/>
      <c r="Z24" s="20"/>
      <c r="AA24" s="20"/>
      <c r="AB24" s="20"/>
      <c r="AC24" s="20"/>
      <c r="AD24" s="20"/>
      <c r="AE24" s="20"/>
      <c r="AF24" s="20"/>
      <c r="AG24" s="13">
        <v>0.68402777777777779</v>
      </c>
      <c r="AH24" s="17" t="s">
        <v>19</v>
      </c>
      <c r="AI24" s="13"/>
      <c r="AJ24" s="7">
        <f t="shared" si="1"/>
        <v>0.25166666666666948</v>
      </c>
      <c r="AK24" s="14">
        <f t="shared" si="0"/>
        <v>0.31597222222222221</v>
      </c>
      <c r="AL24" s="22">
        <f>I24+Q24</f>
        <v>4.694444444444118E-2</v>
      </c>
      <c r="AM24" s="23"/>
      <c r="AN24" s="24"/>
    </row>
    <row r="25" spans="1:45" ht="26.25" customHeight="1" x14ac:dyDescent="0.25">
      <c r="A25" s="6">
        <v>20</v>
      </c>
      <c r="B25" s="7">
        <f>E25-TIME(0,15,0)</f>
        <v>0.40625</v>
      </c>
      <c r="C25" s="17" t="s">
        <v>27</v>
      </c>
      <c r="D25" s="17">
        <v>215</v>
      </c>
      <c r="E25" s="14">
        <v>0.41666666666666669</v>
      </c>
      <c r="F25" s="21">
        <v>0.47430555555555554</v>
      </c>
      <c r="G25" s="14">
        <f t="shared" si="7"/>
        <v>5.7638888888888851E-2</v>
      </c>
      <c r="H25" s="14"/>
      <c r="I25" s="7">
        <f t="shared" si="8"/>
        <v>2.3055555555555773E-2</v>
      </c>
      <c r="J25" s="17"/>
      <c r="K25" s="20"/>
      <c r="L25" s="17">
        <v>212</v>
      </c>
      <c r="M25" s="14">
        <v>0.49736111111111131</v>
      </c>
      <c r="N25" s="14">
        <v>0.5945833333333389</v>
      </c>
      <c r="O25" s="14">
        <f t="shared" si="9"/>
        <v>9.7222222222227594E-2</v>
      </c>
      <c r="P25" s="20"/>
      <c r="Q25" s="7">
        <f t="shared" si="10"/>
        <v>2.777777777778101E-2</v>
      </c>
      <c r="R25" s="17"/>
      <c r="S25" s="20"/>
      <c r="T25" s="17">
        <v>213</v>
      </c>
      <c r="U25" s="14">
        <v>0.62236111111111991</v>
      </c>
      <c r="V25" s="14">
        <v>0.72222222222222221</v>
      </c>
      <c r="W25" s="14">
        <f t="shared" si="11"/>
        <v>9.9861111111102296E-2</v>
      </c>
      <c r="X25" s="20"/>
      <c r="Y25" s="20"/>
      <c r="Z25" s="20"/>
      <c r="AA25" s="20"/>
      <c r="AB25" s="20"/>
      <c r="AC25" s="20"/>
      <c r="AD25" s="20"/>
      <c r="AE25" s="20"/>
      <c r="AF25" s="20"/>
      <c r="AG25" s="13">
        <v>0.72569444444444453</v>
      </c>
      <c r="AH25" s="17" t="s">
        <v>19</v>
      </c>
      <c r="AI25" s="13"/>
      <c r="AJ25" s="7">
        <f t="shared" si="1"/>
        <v>0.25472222222221874</v>
      </c>
      <c r="AK25" s="14">
        <f t="shared" si="0"/>
        <v>0.31944444444444453</v>
      </c>
      <c r="AL25" s="22"/>
      <c r="AM25" s="23"/>
      <c r="AN25" s="24"/>
    </row>
    <row r="26" spans="1:45" ht="26.25" customHeight="1" x14ac:dyDescent="0.25">
      <c r="A26" s="6">
        <v>21</v>
      </c>
      <c r="B26" s="7">
        <f>E26-TIME(0,15,0)</f>
        <v>0.42708333333333331</v>
      </c>
      <c r="C26" s="6" t="s">
        <v>27</v>
      </c>
      <c r="D26" s="17">
        <v>216</v>
      </c>
      <c r="E26" s="14">
        <v>0.4375</v>
      </c>
      <c r="F26" s="21">
        <v>0.50208333333333333</v>
      </c>
      <c r="G26" s="14">
        <f t="shared" si="7"/>
        <v>6.4583333333333326E-2</v>
      </c>
      <c r="H26" s="14"/>
      <c r="I26" s="7">
        <f t="shared" si="8"/>
        <v>2.3055555555555829E-2</v>
      </c>
      <c r="J26" s="17"/>
      <c r="K26" s="20"/>
      <c r="L26" s="17">
        <v>213</v>
      </c>
      <c r="M26" s="14">
        <v>0.52513888888888915</v>
      </c>
      <c r="N26" s="14">
        <v>0.62222222222222223</v>
      </c>
      <c r="O26" s="14">
        <f t="shared" si="9"/>
        <v>9.7083333333333077E-2</v>
      </c>
      <c r="P26" s="20"/>
      <c r="Q26" s="7">
        <f t="shared" si="10"/>
        <v>1.7361111111111049E-2</v>
      </c>
      <c r="R26" s="17"/>
      <c r="S26" s="17" t="s">
        <v>29</v>
      </c>
      <c r="T26" s="17">
        <v>204</v>
      </c>
      <c r="U26" s="21">
        <v>0.63958333333333328</v>
      </c>
      <c r="V26" s="14">
        <v>0.71666666666666667</v>
      </c>
      <c r="W26" s="14">
        <f t="shared" si="11"/>
        <v>7.7083333333333393E-2</v>
      </c>
      <c r="X26" s="20"/>
      <c r="Y26" s="7"/>
      <c r="Z26" s="17"/>
      <c r="AA26" s="20"/>
      <c r="AB26" s="17"/>
      <c r="AC26" s="20"/>
      <c r="AD26" s="21"/>
      <c r="AE26" s="14"/>
      <c r="AF26" s="12"/>
      <c r="AG26" s="13">
        <v>0.72222222222222221</v>
      </c>
      <c r="AH26" s="17" t="s">
        <v>19</v>
      </c>
      <c r="AI26" s="13"/>
      <c r="AJ26" s="7">
        <f t="shared" si="1"/>
        <v>0.2387499999999998</v>
      </c>
      <c r="AK26" s="14">
        <f t="shared" si="0"/>
        <v>0.2951388888888889</v>
      </c>
      <c r="AL26" s="22">
        <f>I26+Q26</f>
        <v>4.0416666666666878E-2</v>
      </c>
      <c r="AM26" s="23"/>
      <c r="AN26" s="26"/>
    </row>
    <row r="27" spans="1:45" ht="26.25" customHeight="1" x14ac:dyDescent="0.25">
      <c r="A27" s="6">
        <v>22</v>
      </c>
      <c r="B27" s="7">
        <f>E27-TIME(0,15,0)</f>
        <v>0.45833333333333331</v>
      </c>
      <c r="C27" s="17" t="s">
        <v>27</v>
      </c>
      <c r="D27" s="17">
        <v>217</v>
      </c>
      <c r="E27" s="14">
        <v>0.46875</v>
      </c>
      <c r="F27" s="21">
        <v>0.52986111111111112</v>
      </c>
      <c r="G27" s="14">
        <f t="shared" si="7"/>
        <v>6.1111111111111116E-2</v>
      </c>
      <c r="H27" s="14"/>
      <c r="I27" s="7">
        <f t="shared" si="8"/>
        <v>2.5694444444444464E-2</v>
      </c>
      <c r="J27" s="17"/>
      <c r="K27" s="20"/>
      <c r="L27" s="17">
        <v>201</v>
      </c>
      <c r="M27" s="14">
        <v>0.55555555555555558</v>
      </c>
      <c r="N27" s="21">
        <v>0.57986111111111105</v>
      </c>
      <c r="O27" s="14">
        <f t="shared" si="9"/>
        <v>2.4305555555555469E-2</v>
      </c>
      <c r="P27" s="20"/>
      <c r="Q27" s="7">
        <f t="shared" si="10"/>
        <v>2.5833333333339814E-2</v>
      </c>
      <c r="R27" s="17"/>
      <c r="S27" s="20"/>
      <c r="T27" s="17">
        <v>217</v>
      </c>
      <c r="U27" s="14">
        <v>0.60569444444445086</v>
      </c>
      <c r="V27" s="14">
        <v>0.70569444444444396</v>
      </c>
      <c r="W27" s="14">
        <f t="shared" si="11"/>
        <v>9.9999999999993094E-2</v>
      </c>
      <c r="X27" s="20"/>
      <c r="Y27" s="7">
        <f>AC27-V27</f>
        <v>2.0694444444444904E-2</v>
      </c>
      <c r="Z27" s="17"/>
      <c r="AA27" s="20"/>
      <c r="AB27" s="8" t="s">
        <v>35</v>
      </c>
      <c r="AC27" s="31">
        <v>0.72638888888888886</v>
      </c>
      <c r="AD27" s="31">
        <v>0.78819444444444453</v>
      </c>
      <c r="AE27" s="14">
        <f>AD27-AC27</f>
        <v>6.1805555555555669E-2</v>
      </c>
      <c r="AF27" s="20"/>
      <c r="AG27" s="13">
        <f>B27+TIME(8,0,0)</f>
        <v>0.79166666666666663</v>
      </c>
      <c r="AH27" s="17" t="s">
        <v>19</v>
      </c>
      <c r="AI27" s="13"/>
      <c r="AJ27" s="7">
        <f>G27+O27+W27</f>
        <v>0.18541666666665968</v>
      </c>
      <c r="AK27" s="14">
        <f t="shared" si="0"/>
        <v>0.33333333333333331</v>
      </c>
      <c r="AL27" s="22">
        <f>I27+Q27</f>
        <v>5.1527777777784278E-2</v>
      </c>
      <c r="AM27" s="23"/>
      <c r="AN27" s="26"/>
    </row>
    <row r="28" spans="1:45" ht="26.25" customHeight="1" x14ac:dyDescent="0.25">
      <c r="A28" s="6"/>
      <c r="B28" s="7"/>
      <c r="C28" s="17"/>
      <c r="D28" s="17"/>
      <c r="E28" s="14"/>
      <c r="F28" s="21"/>
      <c r="G28" s="14"/>
      <c r="H28" s="14"/>
      <c r="I28" s="7"/>
      <c r="J28" s="17"/>
      <c r="K28" s="20"/>
      <c r="L28" s="17"/>
      <c r="M28" s="14"/>
      <c r="N28" s="21"/>
      <c r="O28" s="14"/>
      <c r="P28" s="20"/>
      <c r="Q28" s="7"/>
      <c r="R28" s="17"/>
      <c r="S28" s="20"/>
      <c r="T28" s="17"/>
      <c r="U28" s="14"/>
      <c r="V28" s="14"/>
      <c r="W28" s="14"/>
      <c r="X28" s="20"/>
      <c r="Y28" s="7"/>
      <c r="Z28" s="17"/>
      <c r="AA28" s="20"/>
      <c r="AB28" s="8"/>
      <c r="AC28" s="31"/>
      <c r="AD28" s="31"/>
      <c r="AE28" s="14"/>
      <c r="AF28" s="20"/>
      <c r="AG28" s="13"/>
      <c r="AH28" s="17"/>
      <c r="AI28" s="13"/>
      <c r="AJ28" s="7"/>
      <c r="AK28" s="14"/>
      <c r="AL28" s="22"/>
      <c r="AM28" s="23"/>
      <c r="AN28" s="26"/>
    </row>
    <row r="29" spans="1:45" s="1" customFormat="1" ht="26.25" customHeight="1" x14ac:dyDescent="0.25">
      <c r="A29" s="6">
        <v>23</v>
      </c>
      <c r="B29" s="7">
        <v>0.57291666666666663</v>
      </c>
      <c r="C29" s="6" t="s">
        <v>23</v>
      </c>
      <c r="D29" s="8" t="s">
        <v>24</v>
      </c>
      <c r="E29" s="9"/>
      <c r="F29" s="10"/>
      <c r="G29" s="11"/>
      <c r="H29" s="10"/>
      <c r="I29" s="10"/>
      <c r="J29" s="10"/>
      <c r="K29" s="10"/>
      <c r="L29" s="8" t="s">
        <v>24</v>
      </c>
      <c r="M29" s="10"/>
      <c r="N29" s="10"/>
      <c r="O29" s="11"/>
      <c r="P29" s="10"/>
      <c r="Q29" s="10"/>
      <c r="R29" s="10"/>
      <c r="S29" s="10"/>
      <c r="T29" s="8" t="s">
        <v>24</v>
      </c>
      <c r="U29" s="10"/>
      <c r="V29" s="10"/>
      <c r="W29" s="11"/>
      <c r="X29" s="10"/>
      <c r="Y29" s="7">
        <v>0.90625</v>
      </c>
      <c r="Z29" s="15"/>
      <c r="AA29" s="17"/>
      <c r="AB29" s="8" t="s">
        <v>24</v>
      </c>
      <c r="AC29" s="15"/>
      <c r="AD29" s="15"/>
      <c r="AE29" s="15"/>
      <c r="AF29" s="6" t="s">
        <v>23</v>
      </c>
      <c r="AG29" s="14">
        <v>0.90625</v>
      </c>
      <c r="AH29" s="17" t="s">
        <v>19</v>
      </c>
      <c r="AI29" s="17"/>
      <c r="AJ29" s="15"/>
      <c r="AK29" s="14">
        <f t="shared" si="0"/>
        <v>0.33333333333333337</v>
      </c>
      <c r="AL29" s="15"/>
      <c r="AM29" s="16"/>
      <c r="AN29" s="17" t="s">
        <v>36</v>
      </c>
      <c r="AP29" s="2"/>
      <c r="AQ29" s="18"/>
      <c r="AR29" s="2"/>
      <c r="AS29" s="2"/>
    </row>
    <row r="30" spans="1:45" s="1" customFormat="1" ht="26.25" customHeight="1" x14ac:dyDescent="0.25">
      <c r="A30" s="6">
        <v>24</v>
      </c>
      <c r="B30" s="7">
        <v>0.58333333333333337</v>
      </c>
      <c r="C30" s="6" t="s">
        <v>19</v>
      </c>
      <c r="D30" s="10" t="s">
        <v>37</v>
      </c>
      <c r="E30" s="13"/>
      <c r="F30" s="19"/>
      <c r="G30" s="14"/>
      <c r="H30" s="17"/>
      <c r="I30" s="14"/>
      <c r="J30" s="17"/>
      <c r="K30" s="17"/>
      <c r="L30" s="10" t="s">
        <v>37</v>
      </c>
      <c r="M30" s="14"/>
      <c r="N30" s="14"/>
      <c r="O30" s="14"/>
      <c r="P30" s="17"/>
      <c r="Q30" s="7"/>
      <c r="R30" s="17"/>
      <c r="S30" s="17"/>
      <c r="T30" s="10" t="s">
        <v>37</v>
      </c>
      <c r="U30" s="17"/>
      <c r="V30" s="17"/>
      <c r="W30" s="14"/>
      <c r="X30" s="17"/>
      <c r="Y30" s="7">
        <v>0.91666666666666663</v>
      </c>
      <c r="Z30" s="15"/>
      <c r="AA30" s="17"/>
      <c r="AB30" s="10" t="s">
        <v>37</v>
      </c>
      <c r="AC30" s="15"/>
      <c r="AD30" s="15"/>
      <c r="AE30" s="15"/>
      <c r="AF30" s="6" t="s">
        <v>19</v>
      </c>
      <c r="AG30" s="14">
        <v>0.91666666666666663</v>
      </c>
      <c r="AH30" s="17" t="s">
        <v>19</v>
      </c>
      <c r="AI30" s="17"/>
      <c r="AJ30" s="15"/>
      <c r="AK30" s="14">
        <f t="shared" si="0"/>
        <v>0.33333333333333326</v>
      </c>
      <c r="AL30" s="15"/>
      <c r="AM30" s="15"/>
      <c r="AN30" s="17" t="s">
        <v>38</v>
      </c>
    </row>
    <row r="31" spans="1:45" ht="26.25" customHeight="1" x14ac:dyDescent="0.25">
      <c r="A31" s="27">
        <v>25</v>
      </c>
      <c r="B31" s="7">
        <v>0.55208333333333337</v>
      </c>
      <c r="C31" s="20"/>
      <c r="D31" s="8" t="s">
        <v>35</v>
      </c>
      <c r="E31" s="14">
        <v>0.55555555555555558</v>
      </c>
      <c r="F31" s="28">
        <v>0.63194444444444442</v>
      </c>
      <c r="G31" s="21">
        <f>F31-E31</f>
        <v>7.638888888888884E-2</v>
      </c>
      <c r="H31" s="20"/>
      <c r="I31" s="7">
        <f>M31-F31</f>
        <v>2.3749999999999494E-2</v>
      </c>
      <c r="J31" s="20"/>
      <c r="K31" s="20"/>
      <c r="L31" s="17">
        <v>201</v>
      </c>
      <c r="M31" s="14">
        <v>0.65569444444444391</v>
      </c>
      <c r="N31" s="14">
        <v>0.75569444444444289</v>
      </c>
      <c r="O31" s="14">
        <f>N31-M31</f>
        <v>9.9999999999998979E-2</v>
      </c>
      <c r="P31" s="14"/>
      <c r="Q31" s="7">
        <f>U31-N31</f>
        <v>2.2222222222223476E-2</v>
      </c>
      <c r="R31" s="17"/>
      <c r="S31" s="17"/>
      <c r="T31" s="17">
        <v>216</v>
      </c>
      <c r="U31" s="14">
        <v>0.77791666666666637</v>
      </c>
      <c r="V31" s="14">
        <v>0.8779166666666659</v>
      </c>
      <c r="W31" s="14">
        <f>V31-U31</f>
        <v>9.9999999999999534E-2</v>
      </c>
      <c r="X31" s="20"/>
      <c r="Y31" s="20"/>
      <c r="Z31" s="20"/>
      <c r="AA31" s="20"/>
      <c r="AB31" s="20"/>
      <c r="AC31" s="20"/>
      <c r="AD31" s="20"/>
      <c r="AE31" s="20"/>
      <c r="AF31" s="20"/>
      <c r="AG31" s="13">
        <v>0.88194444444444453</v>
      </c>
      <c r="AH31" s="17" t="s">
        <v>19</v>
      </c>
      <c r="AI31" s="13"/>
      <c r="AJ31" s="7">
        <f t="shared" ref="AJ31:AJ32" si="12">O31+W31+AE31</f>
        <v>0.19999999999999851</v>
      </c>
      <c r="AK31" s="14">
        <f t="shared" si="0"/>
        <v>0.32986111111111116</v>
      </c>
      <c r="AL31" s="22" t="e">
        <f>Q31+#REF!</f>
        <v>#REF!</v>
      </c>
      <c r="AM31" s="23"/>
      <c r="AN31" s="26"/>
    </row>
    <row r="32" spans="1:45" ht="26.25" customHeight="1" x14ac:dyDescent="0.25">
      <c r="A32" s="27">
        <v>26</v>
      </c>
      <c r="B32" s="7">
        <v>0.5625</v>
      </c>
      <c r="C32" s="20"/>
      <c r="D32" s="8" t="s">
        <v>35</v>
      </c>
      <c r="E32" s="14">
        <v>0.56597222222222221</v>
      </c>
      <c r="F32" s="28">
        <v>0.68055555555555547</v>
      </c>
      <c r="G32" s="21">
        <f>F32-E32</f>
        <v>0.11458333333333326</v>
      </c>
      <c r="H32" s="20"/>
      <c r="I32" s="7">
        <f>M32-F32</f>
        <v>1.9583333333332398E-2</v>
      </c>
      <c r="J32" s="20"/>
      <c r="K32" s="20"/>
      <c r="L32" s="17">
        <v>202</v>
      </c>
      <c r="M32" s="14">
        <v>0.70013888888888787</v>
      </c>
      <c r="N32" s="28">
        <v>0.79999999999999993</v>
      </c>
      <c r="O32" s="14">
        <f>N32-M32</f>
        <v>9.9861111111112066E-2</v>
      </c>
      <c r="P32" s="14"/>
      <c r="Q32" s="7">
        <f>U32-N32</f>
        <v>1.6805555555554963E-2</v>
      </c>
      <c r="R32" s="17"/>
      <c r="S32" s="17"/>
      <c r="T32" s="17">
        <v>204</v>
      </c>
      <c r="U32" s="14">
        <v>0.8168055555555549</v>
      </c>
      <c r="V32" s="14">
        <v>0.89027777777777783</v>
      </c>
      <c r="W32" s="14">
        <f>V32-U32</f>
        <v>7.3472222222222938E-2</v>
      </c>
      <c r="X32" s="17" t="s">
        <v>32</v>
      </c>
      <c r="Y32" s="6"/>
      <c r="Z32" s="7"/>
      <c r="AA32" s="17"/>
      <c r="AB32" s="30"/>
      <c r="AC32" s="30"/>
      <c r="AD32" s="30"/>
      <c r="AE32" s="17"/>
      <c r="AF32" s="17"/>
      <c r="AG32" s="13">
        <v>0.89583333333333337</v>
      </c>
      <c r="AH32" s="17" t="s">
        <v>31</v>
      </c>
      <c r="AI32" s="13"/>
      <c r="AJ32" s="7">
        <f t="shared" si="12"/>
        <v>0.173333333333335</v>
      </c>
      <c r="AK32" s="14">
        <f t="shared" si="0"/>
        <v>0.33333333333333337</v>
      </c>
      <c r="AL32" s="22" t="e">
        <f>Q32+#REF!</f>
        <v>#REF!</v>
      </c>
      <c r="AM32" s="23"/>
      <c r="AN32" s="26"/>
    </row>
    <row r="33" spans="1:40" ht="26.25" customHeight="1" x14ac:dyDescent="0.25">
      <c r="A33" s="6">
        <v>27</v>
      </c>
      <c r="B33" s="7">
        <v>0.56597222222222221</v>
      </c>
      <c r="C33" s="17" t="s">
        <v>29</v>
      </c>
      <c r="D33" s="17">
        <v>201</v>
      </c>
      <c r="E33" s="21">
        <v>0.57847222222222217</v>
      </c>
      <c r="F33" s="14">
        <v>0.65569444444444391</v>
      </c>
      <c r="G33" s="14">
        <f>F33-E33</f>
        <v>7.7222222222221748E-2</v>
      </c>
      <c r="H33" s="20"/>
      <c r="I33" s="7">
        <f>M33-F33</f>
        <v>2.2222222222222032E-2</v>
      </c>
      <c r="J33" s="17"/>
      <c r="K33" s="20"/>
      <c r="L33" s="17">
        <v>216</v>
      </c>
      <c r="M33" s="14">
        <v>0.67791666666666595</v>
      </c>
      <c r="N33" s="14">
        <v>0.77791666666666637</v>
      </c>
      <c r="O33" s="14">
        <f>N33-M33</f>
        <v>0.10000000000000042</v>
      </c>
      <c r="P33" s="20"/>
      <c r="Q33" s="7">
        <f>U33-N33</f>
        <v>1.6666666666666496E-2</v>
      </c>
      <c r="R33" s="17"/>
      <c r="S33" s="20"/>
      <c r="T33" s="17">
        <v>212</v>
      </c>
      <c r="U33" s="14">
        <v>0.79458333333333286</v>
      </c>
      <c r="V33" s="14">
        <v>0.89458333333333295</v>
      </c>
      <c r="W33" s="14">
        <f>V33-U33</f>
        <v>0.10000000000000009</v>
      </c>
      <c r="X33" s="20"/>
      <c r="Y33" s="20"/>
      <c r="Z33" s="20"/>
      <c r="AA33" s="20"/>
      <c r="AB33" s="20"/>
      <c r="AC33" s="20"/>
      <c r="AD33" s="20"/>
      <c r="AE33" s="20"/>
      <c r="AF33" s="20"/>
      <c r="AG33" s="13">
        <f>B33+TIME(8,0,0)</f>
        <v>0.89930555555555558</v>
      </c>
      <c r="AH33" s="17" t="s">
        <v>19</v>
      </c>
      <c r="AI33" s="13"/>
      <c r="AJ33" s="7">
        <f t="shared" si="1"/>
        <v>0.27722222222222226</v>
      </c>
      <c r="AK33" s="14">
        <f t="shared" si="0"/>
        <v>0.33333333333333337</v>
      </c>
      <c r="AL33" s="22">
        <f>I33+Q33</f>
        <v>3.8888888888888529E-2</v>
      </c>
      <c r="AM33" s="23"/>
      <c r="AN33" s="26"/>
    </row>
    <row r="34" spans="1:40" ht="26.25" customHeight="1" x14ac:dyDescent="0.25">
      <c r="A34" s="6">
        <v>28</v>
      </c>
      <c r="B34" s="7">
        <v>0.57638888888888895</v>
      </c>
      <c r="C34" s="17"/>
      <c r="D34" s="17">
        <v>211</v>
      </c>
      <c r="E34" s="13">
        <v>0.58888888888888891</v>
      </c>
      <c r="F34" s="13">
        <v>0.68888888888888899</v>
      </c>
      <c r="G34" s="14">
        <f>F34-E34</f>
        <v>0.10000000000000009</v>
      </c>
      <c r="H34" s="17"/>
      <c r="I34" s="7">
        <f>M34-F34</f>
        <v>2.2222222222222143E-2</v>
      </c>
      <c r="J34" s="17"/>
      <c r="K34" s="20"/>
      <c r="L34" s="17">
        <v>203</v>
      </c>
      <c r="M34" s="14">
        <v>0.71111111111111114</v>
      </c>
      <c r="N34" s="28">
        <v>0.81111111111111101</v>
      </c>
      <c r="O34" s="14">
        <f>N34-M34</f>
        <v>9.9999999999999867E-2</v>
      </c>
      <c r="P34" s="20"/>
      <c r="Q34" s="7">
        <f>U34-N34</f>
        <v>1.6805555555554852E-2</v>
      </c>
      <c r="R34" s="17"/>
      <c r="S34" s="20"/>
      <c r="T34" s="17">
        <v>205</v>
      </c>
      <c r="U34" s="14">
        <v>0.82791666666666586</v>
      </c>
      <c r="V34" s="14">
        <v>0.90138888888888891</v>
      </c>
      <c r="W34" s="14">
        <f>V34-U34</f>
        <v>7.3472222222223049E-2</v>
      </c>
      <c r="X34" s="14" t="s">
        <v>32</v>
      </c>
      <c r="Y34" s="20"/>
      <c r="Z34" s="20"/>
      <c r="AA34" s="20"/>
      <c r="AB34" s="20"/>
      <c r="AC34" s="20"/>
      <c r="AD34" s="20"/>
      <c r="AE34" s="20"/>
      <c r="AF34" s="20"/>
      <c r="AG34" s="13">
        <v>0.90625</v>
      </c>
      <c r="AH34" s="17" t="s">
        <v>31</v>
      </c>
      <c r="AI34" s="13"/>
      <c r="AJ34" s="7">
        <f t="shared" si="1"/>
        <v>0.273472222222223</v>
      </c>
      <c r="AK34" s="14">
        <f t="shared" si="0"/>
        <v>0.32986111111111105</v>
      </c>
      <c r="AL34" s="22">
        <f>I34+Q34</f>
        <v>3.9027777777776995E-2</v>
      </c>
      <c r="AM34" s="23"/>
      <c r="AN34" s="26"/>
    </row>
    <row r="35" spans="1:40" ht="26.25" customHeight="1" x14ac:dyDescent="0.25">
      <c r="A35" s="6">
        <v>29</v>
      </c>
      <c r="B35" s="7">
        <v>0.57638888888888895</v>
      </c>
      <c r="C35" s="17" t="s">
        <v>29</v>
      </c>
      <c r="D35" s="17">
        <v>208</v>
      </c>
      <c r="E35" s="21">
        <v>0.58958333333333335</v>
      </c>
      <c r="F35" s="13">
        <v>0.66666666666666663</v>
      </c>
      <c r="G35" s="14">
        <f>F35-E35</f>
        <v>7.7083333333333282E-2</v>
      </c>
      <c r="H35" s="20"/>
      <c r="I35" s="7">
        <f>M35-F35</f>
        <v>2.2361111111110277E-2</v>
      </c>
      <c r="J35" s="17"/>
      <c r="K35" s="20"/>
      <c r="L35" s="17">
        <v>211</v>
      </c>
      <c r="M35" s="14">
        <v>0.68902777777777691</v>
      </c>
      <c r="N35" s="14">
        <v>0.78902777777777788</v>
      </c>
      <c r="O35" s="14">
        <f>N35-M35</f>
        <v>0.10000000000000098</v>
      </c>
      <c r="P35" s="20"/>
      <c r="Q35" s="7">
        <f>U35-N35</f>
        <v>1.6666666666666052E-2</v>
      </c>
      <c r="R35" s="17"/>
      <c r="S35" s="20"/>
      <c r="T35" s="17">
        <v>217</v>
      </c>
      <c r="U35" s="14">
        <v>0.80569444444444394</v>
      </c>
      <c r="V35" s="14">
        <v>0.90569444444444391</v>
      </c>
      <c r="W35" s="14">
        <f>V35-U35</f>
        <v>9.9999999999999978E-2</v>
      </c>
      <c r="X35" s="20"/>
      <c r="Y35" s="20"/>
      <c r="Z35" s="20"/>
      <c r="AA35" s="20"/>
      <c r="AB35" s="20"/>
      <c r="AC35" s="20"/>
      <c r="AD35" s="20"/>
      <c r="AE35" s="20"/>
      <c r="AF35" s="20"/>
      <c r="AG35" s="13">
        <f>B35+TIME(8,0,0)</f>
        <v>0.90972222222222232</v>
      </c>
      <c r="AH35" s="17" t="s">
        <v>19</v>
      </c>
      <c r="AI35" s="13"/>
      <c r="AJ35" s="7">
        <f t="shared" si="1"/>
        <v>0.27708333333333424</v>
      </c>
      <c r="AK35" s="14">
        <f t="shared" si="0"/>
        <v>0.33333333333333337</v>
      </c>
      <c r="AL35" s="22">
        <f>I35+Q35</f>
        <v>3.9027777777776329E-2</v>
      </c>
      <c r="AM35" s="23"/>
      <c r="AN35" s="26"/>
    </row>
    <row r="36" spans="1:40" ht="26.25" customHeight="1" x14ac:dyDescent="0.25">
      <c r="A36" s="6"/>
      <c r="B36" s="7"/>
      <c r="C36" s="17"/>
      <c r="D36" s="17"/>
      <c r="E36" s="21"/>
      <c r="F36" s="13"/>
      <c r="G36" s="14"/>
      <c r="H36" s="20"/>
      <c r="I36" s="7"/>
      <c r="J36" s="17"/>
      <c r="K36" s="20"/>
      <c r="L36" s="17"/>
      <c r="M36" s="14"/>
      <c r="N36" s="14"/>
      <c r="O36" s="14"/>
      <c r="P36" s="20"/>
      <c r="Q36" s="7"/>
      <c r="R36" s="17"/>
      <c r="S36" s="20"/>
      <c r="T36" s="17"/>
      <c r="U36" s="14"/>
      <c r="V36" s="14"/>
      <c r="W36" s="14"/>
      <c r="X36" s="20"/>
      <c r="Y36" s="20"/>
      <c r="Z36" s="20"/>
      <c r="AA36" s="20"/>
      <c r="AB36" s="20"/>
      <c r="AC36" s="20"/>
      <c r="AD36" s="20"/>
      <c r="AE36" s="20"/>
      <c r="AF36" s="20"/>
      <c r="AG36" s="13"/>
      <c r="AH36" s="17"/>
      <c r="AI36" s="13"/>
      <c r="AJ36" s="7"/>
      <c r="AK36" s="14"/>
      <c r="AL36" s="22"/>
      <c r="AM36" s="23"/>
      <c r="AN36" s="26"/>
    </row>
    <row r="37" spans="1:40" ht="26.25" customHeight="1" x14ac:dyDescent="0.25">
      <c r="A37" s="6">
        <v>30</v>
      </c>
      <c r="B37" s="7">
        <v>0.58333333333333337</v>
      </c>
      <c r="C37" s="20"/>
      <c r="D37" s="8" t="s">
        <v>35</v>
      </c>
      <c r="E37" s="14">
        <v>0.58680555555555558</v>
      </c>
      <c r="F37" s="28">
        <v>0.6875</v>
      </c>
      <c r="G37" s="21">
        <f t="shared" ref="G37:G42" si="13">F37-E37</f>
        <v>0.10069444444444442</v>
      </c>
      <c r="H37" s="20"/>
      <c r="I37" s="7">
        <f t="shared" ref="I37:I42" si="14">M37-F37</f>
        <v>1.8055555555555602E-2</v>
      </c>
      <c r="J37" s="20"/>
      <c r="K37" s="20"/>
      <c r="L37" s="17">
        <v>217</v>
      </c>
      <c r="M37" s="14">
        <v>0.7055555555555556</v>
      </c>
      <c r="N37" s="28">
        <v>0.80555555555555547</v>
      </c>
      <c r="O37" s="14">
        <f t="shared" ref="O37:O42" si="15">N37-M37</f>
        <v>9.9999999999999867E-2</v>
      </c>
      <c r="P37" s="20"/>
      <c r="Q37" s="7">
        <f t="shared" ref="Q37:Q42" si="16">U37-N37</f>
        <v>1.6666666666666829E-2</v>
      </c>
      <c r="R37" s="17"/>
      <c r="S37" s="17"/>
      <c r="T37" s="17">
        <v>213</v>
      </c>
      <c r="U37" s="14">
        <v>0.8222222222222223</v>
      </c>
      <c r="V37" s="21">
        <v>0.90902777777777777</v>
      </c>
      <c r="W37" s="14">
        <f t="shared" ref="W37:W42" si="17">V37-U37</f>
        <v>8.6805555555555469E-2</v>
      </c>
      <c r="X37" s="14" t="s">
        <v>33</v>
      </c>
      <c r="Y37" s="20"/>
      <c r="Z37" s="20"/>
      <c r="AA37" s="20"/>
      <c r="AB37" s="20"/>
      <c r="AC37" s="20"/>
      <c r="AD37" s="20"/>
      <c r="AE37" s="20"/>
      <c r="AF37" s="20"/>
      <c r="AG37" s="13">
        <v>0.91319444444444453</v>
      </c>
      <c r="AH37" s="6" t="s">
        <v>21</v>
      </c>
      <c r="AI37" s="13"/>
      <c r="AJ37" s="7">
        <f>O37+W37+AE37</f>
        <v>0.18680555555555534</v>
      </c>
      <c r="AK37" s="14">
        <f t="shared" si="0"/>
        <v>0.32986111111111116</v>
      </c>
      <c r="AL37" s="22" t="e">
        <f>Q37+#REF!</f>
        <v>#REF!</v>
      </c>
      <c r="AM37" s="23"/>
      <c r="AN37" s="26"/>
    </row>
    <row r="38" spans="1:40" ht="26.25" customHeight="1" x14ac:dyDescent="0.25">
      <c r="A38" s="6">
        <v>31</v>
      </c>
      <c r="B38" s="7">
        <v>0.61805555555555558</v>
      </c>
      <c r="C38" s="12" t="s">
        <v>30</v>
      </c>
      <c r="D38" s="17">
        <v>209</v>
      </c>
      <c r="E38" s="21">
        <v>0.62313657407407408</v>
      </c>
      <c r="F38" s="28">
        <v>0.67236111111111085</v>
      </c>
      <c r="G38" s="14">
        <f t="shared" si="13"/>
        <v>4.9224537037036775E-2</v>
      </c>
      <c r="H38" s="20"/>
      <c r="I38" s="7">
        <f t="shared" si="14"/>
        <v>6.6666666666666097E-2</v>
      </c>
      <c r="J38" s="20"/>
      <c r="K38" s="20"/>
      <c r="L38" s="17">
        <v>206</v>
      </c>
      <c r="M38" s="14">
        <v>0.73902777777777695</v>
      </c>
      <c r="N38" s="14">
        <v>0.83902777777777693</v>
      </c>
      <c r="O38" s="14">
        <f t="shared" si="15"/>
        <v>9.9999999999999978E-2</v>
      </c>
      <c r="P38" s="17"/>
      <c r="Q38" s="7">
        <f t="shared" si="16"/>
        <v>1.6666666666666941E-2</v>
      </c>
      <c r="R38" s="17"/>
      <c r="S38" s="17"/>
      <c r="T38" s="17">
        <v>201</v>
      </c>
      <c r="U38" s="14">
        <v>0.85569444444444387</v>
      </c>
      <c r="V38" s="21">
        <v>0.90625</v>
      </c>
      <c r="W38" s="14">
        <f t="shared" si="17"/>
        <v>5.0555555555556131E-2</v>
      </c>
      <c r="X38" s="14" t="s">
        <v>30</v>
      </c>
      <c r="Y38" s="6"/>
      <c r="Z38" s="7"/>
      <c r="AA38" s="17"/>
      <c r="AB38" s="30"/>
      <c r="AC38" s="30"/>
      <c r="AD38" s="30"/>
      <c r="AE38" s="17"/>
      <c r="AF38" s="17"/>
      <c r="AG38" s="13">
        <v>0.90972222222222221</v>
      </c>
      <c r="AH38" s="17" t="s">
        <v>31</v>
      </c>
      <c r="AI38" s="13"/>
      <c r="AJ38" s="7">
        <f t="shared" si="1"/>
        <v>0.19978009259259288</v>
      </c>
      <c r="AK38" s="14">
        <f t="shared" si="0"/>
        <v>0.29166666666666663</v>
      </c>
      <c r="AL38" s="22" t="e">
        <f>Q38+#REF!</f>
        <v>#REF!</v>
      </c>
      <c r="AM38" s="23"/>
      <c r="AN38" s="26"/>
    </row>
    <row r="39" spans="1:40" ht="26.25" customHeight="1" x14ac:dyDescent="0.25">
      <c r="A39" s="6">
        <v>32</v>
      </c>
      <c r="B39" s="7">
        <v>0.61458333333333337</v>
      </c>
      <c r="C39" s="6"/>
      <c r="D39" s="17">
        <v>205</v>
      </c>
      <c r="E39" s="14">
        <v>0.62791666666666635</v>
      </c>
      <c r="F39" s="14">
        <v>0.72791666666666588</v>
      </c>
      <c r="G39" s="14">
        <f t="shared" si="13"/>
        <v>9.9999999999999534E-2</v>
      </c>
      <c r="H39" s="14"/>
      <c r="I39" s="7">
        <f t="shared" si="14"/>
        <v>2.2222222222222032E-2</v>
      </c>
      <c r="J39" s="17"/>
      <c r="K39" s="17"/>
      <c r="L39" s="17">
        <v>215</v>
      </c>
      <c r="M39" s="14">
        <v>0.75013888888888791</v>
      </c>
      <c r="N39" s="14">
        <v>0.85013888888888789</v>
      </c>
      <c r="O39" s="14">
        <f t="shared" si="15"/>
        <v>9.9999999999999978E-2</v>
      </c>
      <c r="P39" s="20"/>
      <c r="Q39" s="7">
        <f t="shared" si="16"/>
        <v>1.6666666666667052E-2</v>
      </c>
      <c r="R39" s="20"/>
      <c r="S39" s="20"/>
      <c r="T39" s="17">
        <v>208</v>
      </c>
      <c r="U39" s="14">
        <v>0.86680555555555494</v>
      </c>
      <c r="V39" s="21">
        <v>0.89930555555555547</v>
      </c>
      <c r="W39" s="14">
        <f t="shared" si="17"/>
        <v>3.2500000000000528E-2</v>
      </c>
      <c r="X39" s="14" t="s">
        <v>26</v>
      </c>
      <c r="Y39" s="20"/>
      <c r="Z39" s="20"/>
      <c r="AA39" s="20"/>
      <c r="AB39" s="20"/>
      <c r="AC39" s="20"/>
      <c r="AD39" s="20"/>
      <c r="AE39" s="20"/>
      <c r="AF39" s="20"/>
      <c r="AG39" s="13">
        <v>0.90277777777777779</v>
      </c>
      <c r="AH39" s="6" t="s">
        <v>21</v>
      </c>
      <c r="AI39" s="13"/>
      <c r="AJ39" s="7">
        <f t="shared" si="1"/>
        <v>0.23250000000000004</v>
      </c>
      <c r="AK39" s="14">
        <f t="shared" si="0"/>
        <v>0.28819444444444442</v>
      </c>
      <c r="AL39" s="22">
        <f>I39+Q39</f>
        <v>3.8888888888889084E-2</v>
      </c>
      <c r="AM39" s="23"/>
      <c r="AN39" s="26"/>
    </row>
    <row r="40" spans="1:40" ht="26.25" customHeight="1" x14ac:dyDescent="0.25">
      <c r="A40" s="6">
        <v>33</v>
      </c>
      <c r="B40" s="7">
        <v>0.62152777777777779</v>
      </c>
      <c r="C40" s="17" t="s">
        <v>33</v>
      </c>
      <c r="D40" s="17">
        <v>215</v>
      </c>
      <c r="E40" s="14">
        <v>0.63472222222222219</v>
      </c>
      <c r="F40" s="28">
        <v>0.65013888888888893</v>
      </c>
      <c r="G40" s="14">
        <f t="shared" si="13"/>
        <v>1.5416666666666745E-2</v>
      </c>
      <c r="H40" s="20"/>
      <c r="I40" s="7">
        <f t="shared" si="14"/>
        <v>7.2083333333333277E-2</v>
      </c>
      <c r="J40" s="20"/>
      <c r="K40" s="20"/>
      <c r="L40" s="17">
        <v>213</v>
      </c>
      <c r="M40" s="14">
        <v>0.72222222222222221</v>
      </c>
      <c r="N40" s="28">
        <v>0.8222222222222223</v>
      </c>
      <c r="O40" s="14">
        <f t="shared" si="15"/>
        <v>0.10000000000000009</v>
      </c>
      <c r="P40" s="17"/>
      <c r="Q40" s="7">
        <f t="shared" si="16"/>
        <v>1.680555555555463E-2</v>
      </c>
      <c r="R40" s="17"/>
      <c r="S40" s="17"/>
      <c r="T40" s="17">
        <v>206</v>
      </c>
      <c r="U40" s="14">
        <v>0.83902777777777693</v>
      </c>
      <c r="V40" s="14">
        <v>0.90694444444444444</v>
      </c>
      <c r="W40" s="14">
        <f t="shared" si="17"/>
        <v>6.7916666666667513E-2</v>
      </c>
      <c r="X40" s="14" t="s">
        <v>32</v>
      </c>
      <c r="Y40" s="6"/>
      <c r="Z40" s="7"/>
      <c r="AA40" s="17"/>
      <c r="AB40" s="30"/>
      <c r="AC40" s="30"/>
      <c r="AD40" s="30"/>
      <c r="AE40" s="17"/>
      <c r="AF40" s="17"/>
      <c r="AG40" s="13">
        <v>0.90972222222222221</v>
      </c>
      <c r="AH40" s="17" t="s">
        <v>31</v>
      </c>
      <c r="AI40" s="13"/>
      <c r="AJ40" s="7">
        <f t="shared" si="1"/>
        <v>0.18333333333333435</v>
      </c>
      <c r="AK40" s="14">
        <f t="shared" si="0"/>
        <v>0.28819444444444442</v>
      </c>
      <c r="AL40" s="22" t="e">
        <f>Q40+#REF!</f>
        <v>#REF!</v>
      </c>
      <c r="AM40" s="23"/>
      <c r="AN40" s="26"/>
    </row>
    <row r="41" spans="1:40" ht="26.25" customHeight="1" x14ac:dyDescent="0.25">
      <c r="A41" s="6">
        <v>34</v>
      </c>
      <c r="B41" s="7">
        <f>E41-TIME(0,15,0)</f>
        <v>0.62861111111111123</v>
      </c>
      <c r="C41" s="6" t="s">
        <v>19</v>
      </c>
      <c r="D41" s="17">
        <v>206</v>
      </c>
      <c r="E41" s="14">
        <v>0.63902777777777786</v>
      </c>
      <c r="F41" s="14">
        <v>0.73888888888888893</v>
      </c>
      <c r="G41" s="14">
        <f t="shared" si="13"/>
        <v>9.9861111111111067E-2</v>
      </c>
      <c r="H41" s="17"/>
      <c r="I41" s="7">
        <f t="shared" si="14"/>
        <v>1.6805555555553964E-2</v>
      </c>
      <c r="J41" s="17"/>
      <c r="K41" s="20"/>
      <c r="L41" s="17">
        <v>201</v>
      </c>
      <c r="M41" s="14">
        <v>0.75569444444444289</v>
      </c>
      <c r="N41" s="14">
        <v>0.85569444444444387</v>
      </c>
      <c r="O41" s="14">
        <f t="shared" si="15"/>
        <v>0.10000000000000098</v>
      </c>
      <c r="P41" s="17"/>
      <c r="Q41" s="7">
        <f t="shared" si="16"/>
        <v>1.6666666666667052E-2</v>
      </c>
      <c r="R41" s="7"/>
      <c r="S41" s="17"/>
      <c r="T41" s="17">
        <v>209</v>
      </c>
      <c r="U41" s="14">
        <v>0.87236111111111092</v>
      </c>
      <c r="V41" s="21">
        <v>0.90625</v>
      </c>
      <c r="W41" s="14">
        <f t="shared" si="17"/>
        <v>3.3888888888889079E-2</v>
      </c>
      <c r="X41" s="21" t="s">
        <v>26</v>
      </c>
      <c r="Y41" s="6"/>
      <c r="Z41" s="7"/>
      <c r="AA41" s="17"/>
      <c r="AB41" s="30"/>
      <c r="AC41" s="30"/>
      <c r="AD41" s="30"/>
      <c r="AE41" s="17"/>
      <c r="AF41" s="17"/>
      <c r="AG41" s="13">
        <v>0.90972222222222221</v>
      </c>
      <c r="AH41" s="6" t="s">
        <v>21</v>
      </c>
      <c r="AI41" s="13"/>
      <c r="AJ41" s="7">
        <f t="shared" si="1"/>
        <v>0.23375000000000112</v>
      </c>
      <c r="AK41" s="14">
        <f t="shared" si="0"/>
        <v>0.28111111111111098</v>
      </c>
      <c r="AL41" s="22">
        <f>I41+Q41</f>
        <v>3.3472222222221015E-2</v>
      </c>
      <c r="AM41" s="23"/>
      <c r="AN41" s="26"/>
    </row>
    <row r="42" spans="1:40" ht="26.25" customHeight="1" x14ac:dyDescent="0.25">
      <c r="A42" s="6">
        <v>35</v>
      </c>
      <c r="B42" s="7">
        <v>0.63194444444444442</v>
      </c>
      <c r="C42" s="20"/>
      <c r="D42" s="17">
        <v>214</v>
      </c>
      <c r="E42" s="14">
        <v>0.64458333333333295</v>
      </c>
      <c r="F42" s="14">
        <v>0.74458333333333193</v>
      </c>
      <c r="G42" s="14">
        <f t="shared" si="13"/>
        <v>9.9999999999998979E-2</v>
      </c>
      <c r="H42" s="8"/>
      <c r="I42" s="7">
        <f t="shared" si="14"/>
        <v>2.222222222222292E-2</v>
      </c>
      <c r="J42" s="17"/>
      <c r="K42" s="17"/>
      <c r="L42" s="17">
        <v>208</v>
      </c>
      <c r="M42" s="14">
        <v>0.76680555555555485</v>
      </c>
      <c r="N42" s="14">
        <v>0.86680555555555494</v>
      </c>
      <c r="O42" s="14">
        <f t="shared" si="15"/>
        <v>0.10000000000000009</v>
      </c>
      <c r="P42" s="20"/>
      <c r="Q42" s="7">
        <f t="shared" si="16"/>
        <v>1.1111111111110961E-2</v>
      </c>
      <c r="R42" s="20"/>
      <c r="S42" s="20"/>
      <c r="T42" s="17">
        <v>216</v>
      </c>
      <c r="U42" s="14">
        <v>0.8779166666666659</v>
      </c>
      <c r="V42" s="21">
        <v>0.90069444444444446</v>
      </c>
      <c r="W42" s="14">
        <f t="shared" si="17"/>
        <v>2.2777777777778563E-2</v>
      </c>
      <c r="X42" s="14" t="s">
        <v>29</v>
      </c>
      <c r="Y42" s="20"/>
      <c r="Z42" s="20"/>
      <c r="AA42" s="20"/>
      <c r="AB42" s="20"/>
      <c r="AC42" s="20"/>
      <c r="AD42" s="20"/>
      <c r="AE42" s="20"/>
      <c r="AF42" s="20"/>
      <c r="AG42" s="13">
        <v>0.90972222222222221</v>
      </c>
      <c r="AH42" s="17" t="s">
        <v>19</v>
      </c>
      <c r="AI42" s="13"/>
      <c r="AJ42" s="7">
        <f t="shared" si="1"/>
        <v>0.22277777777777763</v>
      </c>
      <c r="AK42" s="14">
        <f t="shared" si="0"/>
        <v>0.27777777777777779</v>
      </c>
      <c r="AL42" s="22">
        <f>I42+Q42</f>
        <v>3.3333333333333881E-2</v>
      </c>
      <c r="AM42" s="23"/>
      <c r="AN42" s="26"/>
    </row>
    <row r="43" spans="1:40" ht="26.25" customHeight="1" x14ac:dyDescent="0.25">
      <c r="A43" s="6"/>
      <c r="B43" s="7"/>
      <c r="C43" s="20"/>
      <c r="D43" s="17"/>
      <c r="E43" s="14"/>
      <c r="F43" s="14"/>
      <c r="G43" s="14"/>
      <c r="H43" s="8"/>
      <c r="I43" s="7"/>
      <c r="J43" s="17"/>
      <c r="K43" s="17"/>
      <c r="L43" s="17"/>
      <c r="M43" s="14"/>
      <c r="N43" s="14"/>
      <c r="O43" s="14"/>
      <c r="P43" s="20"/>
      <c r="Q43" s="7"/>
      <c r="R43" s="20"/>
      <c r="S43" s="20"/>
      <c r="T43" s="17"/>
      <c r="U43" s="14"/>
      <c r="V43" s="21"/>
      <c r="W43" s="14"/>
      <c r="X43" s="14"/>
      <c r="Y43" s="20"/>
      <c r="Z43" s="20"/>
      <c r="AA43" s="20"/>
      <c r="AB43" s="20"/>
      <c r="AC43" s="20"/>
      <c r="AD43" s="20"/>
      <c r="AE43" s="20"/>
      <c r="AF43" s="20"/>
      <c r="AG43" s="13"/>
      <c r="AH43" s="17"/>
      <c r="AI43" s="13"/>
      <c r="AJ43" s="7"/>
      <c r="AK43" s="14"/>
      <c r="AL43" s="22"/>
      <c r="AM43" s="23"/>
      <c r="AN43" s="26"/>
    </row>
    <row r="44" spans="1:40" ht="26.25" customHeight="1" x14ac:dyDescent="0.25">
      <c r="A44" s="6">
        <v>36</v>
      </c>
      <c r="B44" s="7">
        <v>0.63888888888888895</v>
      </c>
      <c r="C44" s="6" t="s">
        <v>19</v>
      </c>
      <c r="D44" s="17">
        <v>215</v>
      </c>
      <c r="E44" s="14">
        <v>0.65013888888888893</v>
      </c>
      <c r="F44" s="14">
        <v>0.75013888888888791</v>
      </c>
      <c r="G44" s="14">
        <f t="shared" ref="G44:G49" si="18">F44-E44</f>
        <v>9.9999999999998979E-2</v>
      </c>
      <c r="H44" s="14"/>
      <c r="I44" s="7">
        <f t="shared" ref="I44:I49" si="19">M44-F44</f>
        <v>2.222222222222292E-2</v>
      </c>
      <c r="J44" s="17"/>
      <c r="K44" s="17"/>
      <c r="L44" s="17">
        <v>209</v>
      </c>
      <c r="M44" s="14">
        <v>0.77236111111111083</v>
      </c>
      <c r="N44" s="14">
        <v>0.87236111111111092</v>
      </c>
      <c r="O44" s="14">
        <f t="shared" ref="O44:O49" si="20">N44-M44</f>
        <v>0.10000000000000009</v>
      </c>
      <c r="P44" s="17"/>
      <c r="Q44" s="7">
        <f>U44-N44</f>
        <v>1.1111111111110961E-2</v>
      </c>
      <c r="R44" s="7"/>
      <c r="S44" s="17"/>
      <c r="T44" s="17">
        <v>210</v>
      </c>
      <c r="U44" s="14">
        <v>0.88347222222222188</v>
      </c>
      <c r="V44" s="21">
        <v>0.90763888888888899</v>
      </c>
      <c r="W44" s="14">
        <f>V44-U44</f>
        <v>2.4166666666667114E-2</v>
      </c>
      <c r="X44" s="21" t="s">
        <v>29</v>
      </c>
      <c r="Y44" s="6"/>
      <c r="Z44" s="7"/>
      <c r="AA44" s="17"/>
      <c r="AB44" s="30"/>
      <c r="AC44" s="30"/>
      <c r="AD44" s="30"/>
      <c r="AE44" s="17"/>
      <c r="AF44" s="17"/>
      <c r="AG44" s="13">
        <v>0.91319444444444453</v>
      </c>
      <c r="AH44" s="17" t="s">
        <v>19</v>
      </c>
      <c r="AI44" s="13"/>
      <c r="AJ44" s="7">
        <f t="shared" si="1"/>
        <v>0.22416666666666618</v>
      </c>
      <c r="AK44" s="14">
        <f t="shared" si="0"/>
        <v>0.27430555555555558</v>
      </c>
      <c r="AL44" s="22">
        <f>I44+Q44</f>
        <v>3.3333333333333881E-2</v>
      </c>
      <c r="AM44" s="23"/>
      <c r="AN44" s="26"/>
    </row>
    <row r="45" spans="1:40" ht="26.25" customHeight="1" x14ac:dyDescent="0.25">
      <c r="A45" s="6">
        <v>37</v>
      </c>
      <c r="B45" s="7">
        <f>E45-TIME(0,15,0)</f>
        <v>0.65638888888888824</v>
      </c>
      <c r="C45" s="6" t="s">
        <v>19</v>
      </c>
      <c r="D45" s="17">
        <v>208</v>
      </c>
      <c r="E45" s="14">
        <v>0.66680555555555487</v>
      </c>
      <c r="F45" s="14">
        <v>0.76680555555555485</v>
      </c>
      <c r="G45" s="14">
        <f t="shared" si="18"/>
        <v>9.9999999999999978E-2</v>
      </c>
      <c r="H45" s="14"/>
      <c r="I45" s="7">
        <f t="shared" si="19"/>
        <v>1.6666666666667052E-2</v>
      </c>
      <c r="J45" s="17"/>
      <c r="K45" s="17"/>
      <c r="L45" s="17">
        <v>210</v>
      </c>
      <c r="M45" s="14">
        <v>0.7834722222222219</v>
      </c>
      <c r="N45" s="14">
        <v>0.88347222222222188</v>
      </c>
      <c r="O45" s="14">
        <f t="shared" si="20"/>
        <v>9.9999999999999978E-2</v>
      </c>
      <c r="P45" s="17"/>
      <c r="Q45" s="7"/>
      <c r="R45" s="7"/>
      <c r="S45" s="17"/>
      <c r="T45" s="30"/>
      <c r="U45" s="30"/>
      <c r="V45" s="30"/>
      <c r="W45" s="17"/>
      <c r="X45" s="17"/>
      <c r="Y45" s="6"/>
      <c r="Z45" s="7"/>
      <c r="AA45" s="17"/>
      <c r="AB45" s="30"/>
      <c r="AC45" s="30"/>
      <c r="AD45" s="30"/>
      <c r="AE45" s="17"/>
      <c r="AF45" s="17"/>
      <c r="AG45" s="13">
        <v>0.88888888888888884</v>
      </c>
      <c r="AH45" s="17" t="s">
        <v>19</v>
      </c>
      <c r="AI45" s="13"/>
      <c r="AJ45" s="7">
        <f t="shared" si="1"/>
        <v>0.19999999999999996</v>
      </c>
      <c r="AK45" s="14">
        <f t="shared" si="0"/>
        <v>0.2325000000000006</v>
      </c>
      <c r="AL45" s="22">
        <f>I45+Q45</f>
        <v>1.6666666666667052E-2</v>
      </c>
      <c r="AM45" s="23"/>
      <c r="AN45" s="26"/>
    </row>
    <row r="46" spans="1:40" ht="26.25" customHeight="1" x14ac:dyDescent="0.25">
      <c r="A46" s="6">
        <v>38</v>
      </c>
      <c r="B46" s="7">
        <v>0.65625</v>
      </c>
      <c r="C46" s="17" t="s">
        <v>33</v>
      </c>
      <c r="D46" s="17">
        <v>210</v>
      </c>
      <c r="E46" s="14">
        <v>0.6694444444444444</v>
      </c>
      <c r="F46" s="14">
        <v>0.68333333333333324</v>
      </c>
      <c r="G46" s="14">
        <f t="shared" si="18"/>
        <v>1.388888888888884E-2</v>
      </c>
      <c r="H46" s="17" t="s">
        <v>28</v>
      </c>
      <c r="I46" s="7">
        <f t="shared" si="19"/>
        <v>1.1111111111111294E-2</v>
      </c>
      <c r="J46" s="17"/>
      <c r="K46" s="17"/>
      <c r="L46" s="17">
        <v>212</v>
      </c>
      <c r="M46" s="13">
        <v>0.69444444444444453</v>
      </c>
      <c r="N46" s="28">
        <v>0.79458333333333286</v>
      </c>
      <c r="O46" s="14">
        <f t="shared" si="20"/>
        <v>0.10013888888888833</v>
      </c>
      <c r="P46" s="20"/>
      <c r="Q46" s="7">
        <f>U46-N46</f>
        <v>1.6666666666667052E-2</v>
      </c>
      <c r="R46" s="20"/>
      <c r="S46" s="20"/>
      <c r="T46" s="17">
        <v>203</v>
      </c>
      <c r="U46" s="14">
        <v>0.81124999999999992</v>
      </c>
      <c r="V46" s="14">
        <v>0.89722222222222225</v>
      </c>
      <c r="W46" s="14">
        <f>V46-U46</f>
        <v>8.5972222222222339E-2</v>
      </c>
      <c r="X46" s="17" t="s">
        <v>33</v>
      </c>
      <c r="Y46" s="20"/>
      <c r="Z46" s="20"/>
      <c r="AA46" s="20"/>
      <c r="AB46" s="20"/>
      <c r="AC46" s="20"/>
      <c r="AD46" s="20"/>
      <c r="AE46" s="20"/>
      <c r="AF46" s="20"/>
      <c r="AG46" s="13">
        <v>0.90277777777777779</v>
      </c>
      <c r="AH46" s="6" t="s">
        <v>21</v>
      </c>
      <c r="AI46" s="13"/>
      <c r="AJ46" s="7">
        <f t="shared" si="1"/>
        <v>0.19999999999999951</v>
      </c>
      <c r="AK46" s="14">
        <f t="shared" si="0"/>
        <v>0.24652777777777779</v>
      </c>
      <c r="AL46" s="22">
        <f>I46+Q46</f>
        <v>2.7777777777778345E-2</v>
      </c>
      <c r="AM46" s="23"/>
      <c r="AN46" s="26"/>
    </row>
    <row r="47" spans="1:40" ht="26.25" customHeight="1" x14ac:dyDescent="0.25">
      <c r="A47" s="6">
        <v>39</v>
      </c>
      <c r="B47" s="7">
        <v>0.65972222222222221</v>
      </c>
      <c r="C47" s="17"/>
      <c r="D47" s="17">
        <v>209</v>
      </c>
      <c r="E47" s="14">
        <v>0.67236111111111085</v>
      </c>
      <c r="F47" s="14">
        <v>0.77236111111111083</v>
      </c>
      <c r="G47" s="14">
        <f t="shared" si="18"/>
        <v>9.9999999999999978E-2</v>
      </c>
      <c r="H47" s="30"/>
      <c r="I47" s="7">
        <f t="shared" si="19"/>
        <v>1.652777777777803E-2</v>
      </c>
      <c r="J47" s="17"/>
      <c r="K47" s="17"/>
      <c r="L47" s="17">
        <v>211</v>
      </c>
      <c r="M47" s="14">
        <v>0.78888888888888886</v>
      </c>
      <c r="N47" s="14">
        <v>0.91319444444444453</v>
      </c>
      <c r="O47" s="14">
        <f t="shared" si="20"/>
        <v>0.12430555555555567</v>
      </c>
      <c r="P47" s="17" t="s">
        <v>39</v>
      </c>
      <c r="Q47" s="7"/>
      <c r="R47" s="7"/>
      <c r="S47" s="17"/>
      <c r="T47" s="30"/>
      <c r="U47" s="30"/>
      <c r="V47" s="30"/>
      <c r="W47" s="17"/>
      <c r="X47" s="17"/>
      <c r="Y47" s="6"/>
      <c r="Z47" s="7"/>
      <c r="AA47" s="17"/>
      <c r="AB47" s="30"/>
      <c r="AC47" s="30"/>
      <c r="AD47" s="30"/>
      <c r="AE47" s="17"/>
      <c r="AF47" s="17"/>
      <c r="AG47" s="13">
        <v>0.91666666666666663</v>
      </c>
      <c r="AH47" s="17" t="s">
        <v>40</v>
      </c>
      <c r="AI47" s="13"/>
      <c r="AJ47" s="7">
        <f t="shared" si="1"/>
        <v>0.22430555555555565</v>
      </c>
      <c r="AK47" s="14">
        <f t="shared" si="0"/>
        <v>0.25694444444444442</v>
      </c>
      <c r="AL47" s="22">
        <f>I47+Q47</f>
        <v>1.652777777777803E-2</v>
      </c>
      <c r="AM47" s="23"/>
      <c r="AN47" s="26"/>
    </row>
    <row r="48" spans="1:40" ht="26.25" customHeight="1" x14ac:dyDescent="0.25">
      <c r="A48" s="6">
        <v>40</v>
      </c>
      <c r="B48" s="7">
        <v>0.67013888888888884</v>
      </c>
      <c r="C48" s="6" t="s">
        <v>19</v>
      </c>
      <c r="D48" s="17">
        <v>210</v>
      </c>
      <c r="E48" s="13">
        <v>0.68333333333333324</v>
      </c>
      <c r="F48" s="14">
        <v>0.7834722222222219</v>
      </c>
      <c r="G48" s="14">
        <f t="shared" si="18"/>
        <v>0.10013888888888867</v>
      </c>
      <c r="H48" s="17"/>
      <c r="I48" s="7">
        <f t="shared" si="19"/>
        <v>1.6666666666667052E-2</v>
      </c>
      <c r="J48" s="17"/>
      <c r="K48" s="17"/>
      <c r="L48" s="17">
        <v>202</v>
      </c>
      <c r="M48" s="14">
        <v>0.80013888888888896</v>
      </c>
      <c r="N48" s="14">
        <v>0.90013888888888793</v>
      </c>
      <c r="O48" s="14">
        <f t="shared" si="20"/>
        <v>9.9999999999998979E-2</v>
      </c>
      <c r="P48" s="20"/>
      <c r="Q48" s="7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13">
        <v>0.90277777777777779</v>
      </c>
      <c r="AH48" s="17" t="s">
        <v>19</v>
      </c>
      <c r="AI48" s="13"/>
      <c r="AJ48" s="7">
        <f t="shared" si="1"/>
        <v>0.20013888888888764</v>
      </c>
      <c r="AK48" s="14">
        <f t="shared" si="0"/>
        <v>0.23263888888888895</v>
      </c>
      <c r="AL48" s="22">
        <f>I48+Q48</f>
        <v>1.6666666666667052E-2</v>
      </c>
      <c r="AM48" s="23"/>
      <c r="AN48" s="26"/>
    </row>
    <row r="49" spans="1:40" ht="26.25" customHeight="1" x14ac:dyDescent="0.25">
      <c r="A49" s="27">
        <v>41</v>
      </c>
      <c r="B49" s="7">
        <v>0.67361111111111116</v>
      </c>
      <c r="C49" s="17" t="s">
        <v>33</v>
      </c>
      <c r="D49" s="17">
        <v>202</v>
      </c>
      <c r="E49" s="14">
        <v>0.68472222222222223</v>
      </c>
      <c r="F49" s="28">
        <v>0.70013888888888787</v>
      </c>
      <c r="G49" s="14">
        <f t="shared" si="18"/>
        <v>1.5416666666665635E-2</v>
      </c>
      <c r="H49" s="20"/>
      <c r="I49" s="7">
        <f t="shared" si="19"/>
        <v>2.7777777777778012E-2</v>
      </c>
      <c r="J49" s="20"/>
      <c r="K49" s="12"/>
      <c r="L49" s="17">
        <v>205</v>
      </c>
      <c r="M49" s="14">
        <v>0.72791666666666588</v>
      </c>
      <c r="N49" s="14">
        <v>0.82791666666666586</v>
      </c>
      <c r="O49" s="14">
        <f t="shared" si="20"/>
        <v>9.9999999999999978E-2</v>
      </c>
      <c r="P49" s="17"/>
      <c r="Q49" s="7">
        <f>U49-N49</f>
        <v>1.6666666666667052E-2</v>
      </c>
      <c r="R49" s="17"/>
      <c r="S49" s="17"/>
      <c r="T49" s="17">
        <v>214</v>
      </c>
      <c r="U49" s="14">
        <v>0.84458333333333291</v>
      </c>
      <c r="V49" s="21">
        <v>0.89236111111111116</v>
      </c>
      <c r="W49" s="14">
        <f>V49-U49</f>
        <v>4.7777777777778252E-2</v>
      </c>
      <c r="X49" s="14" t="s">
        <v>30</v>
      </c>
      <c r="Y49" s="20"/>
      <c r="Z49" s="20"/>
      <c r="AA49" s="20"/>
      <c r="AB49" s="20"/>
      <c r="AC49" s="20"/>
      <c r="AD49" s="20"/>
      <c r="AE49" s="20"/>
      <c r="AF49" s="20"/>
      <c r="AG49" s="13">
        <v>0.89583333333333337</v>
      </c>
      <c r="AH49" s="17" t="s">
        <v>31</v>
      </c>
      <c r="AI49" s="13"/>
      <c r="AJ49" s="7">
        <f t="shared" si="1"/>
        <v>0.16319444444444386</v>
      </c>
      <c r="AK49" s="14">
        <f t="shared" si="0"/>
        <v>0.22222222222222221</v>
      </c>
      <c r="AL49" s="22">
        <f t="shared" ref="AL49:AL56" si="21">I49+Q49</f>
        <v>4.4444444444445064E-2</v>
      </c>
      <c r="AM49" s="23"/>
      <c r="AN49" s="26"/>
    </row>
    <row r="50" spans="1:40" ht="26.25" customHeight="1" x14ac:dyDescent="0.25">
      <c r="A50" s="6"/>
      <c r="B50" s="6"/>
      <c r="C50" s="17"/>
      <c r="D50" s="30"/>
      <c r="E50" s="30"/>
      <c r="F50" s="30"/>
      <c r="G50" s="17"/>
      <c r="H50" s="30"/>
      <c r="I50" s="7"/>
      <c r="J50" s="17"/>
      <c r="K50" s="17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13"/>
      <c r="AH50" s="17"/>
      <c r="AI50" s="13"/>
      <c r="AJ50" s="7"/>
      <c r="AK50" s="14"/>
      <c r="AL50" s="22"/>
      <c r="AM50" s="32"/>
      <c r="AN50" s="32"/>
    </row>
    <row r="51" spans="1:40" ht="26.25" customHeight="1" x14ac:dyDescent="0.25">
      <c r="A51" s="10" t="s">
        <v>41</v>
      </c>
      <c r="B51" s="7">
        <v>0.25</v>
      </c>
      <c r="C51" s="17" t="s">
        <v>27</v>
      </c>
      <c r="D51" s="8" t="s">
        <v>42</v>
      </c>
      <c r="E51" s="14">
        <v>0.25347222222222221</v>
      </c>
      <c r="F51" s="14">
        <v>0.36541666666666672</v>
      </c>
      <c r="G51" s="14">
        <f t="shared" ref="G51:G57" si="22">F51-E51</f>
        <v>0.11194444444444451</v>
      </c>
      <c r="H51" s="20"/>
      <c r="I51" s="7">
        <f t="shared" ref="I51:I57" si="23">M51-F51</f>
        <v>9.7222222222221544E-2</v>
      </c>
      <c r="J51" s="20"/>
      <c r="K51" s="20"/>
      <c r="L51" s="8" t="s">
        <v>42</v>
      </c>
      <c r="M51" s="14">
        <v>0.46263888888888827</v>
      </c>
      <c r="N51" s="14">
        <v>0.56125000000000191</v>
      </c>
      <c r="O51" s="14">
        <f t="shared" ref="O51:O57" si="24">N51-M51</f>
        <v>9.8611111111113647E-2</v>
      </c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33">
        <f>V51-AG51</f>
        <v>-0.56597222222222221</v>
      </c>
      <c r="AA51" s="20"/>
      <c r="AB51" s="20"/>
      <c r="AC51" s="20"/>
      <c r="AD51" s="20"/>
      <c r="AE51" s="20"/>
      <c r="AF51" s="20"/>
      <c r="AG51" s="13">
        <v>0.56597222222222221</v>
      </c>
      <c r="AH51" s="17" t="s">
        <v>19</v>
      </c>
      <c r="AI51" s="13"/>
      <c r="AJ51" s="7">
        <f t="shared" si="1"/>
        <v>0.21055555555555816</v>
      </c>
      <c r="AK51" s="14">
        <f t="shared" si="0"/>
        <v>0.31597222222222221</v>
      </c>
      <c r="AL51" s="22">
        <f t="shared" si="21"/>
        <v>9.7222222222221544E-2</v>
      </c>
      <c r="AM51" s="32"/>
      <c r="AN51" s="32"/>
    </row>
    <row r="52" spans="1:40" ht="26.25" customHeight="1" x14ac:dyDescent="0.25">
      <c r="A52" s="10" t="s">
        <v>43</v>
      </c>
      <c r="B52" s="7">
        <v>0.35416666666666669</v>
      </c>
      <c r="C52" s="6" t="s">
        <v>19</v>
      </c>
      <c r="D52" s="8" t="s">
        <v>42</v>
      </c>
      <c r="E52" s="14">
        <v>0.36541666666666672</v>
      </c>
      <c r="F52" s="14">
        <v>0.46263888888888827</v>
      </c>
      <c r="G52" s="14">
        <f t="shared" si="22"/>
        <v>9.7222222222221544E-2</v>
      </c>
      <c r="H52" s="20"/>
      <c r="I52" s="7">
        <f t="shared" si="23"/>
        <v>9.8472222222222849E-2</v>
      </c>
      <c r="J52" s="20"/>
      <c r="K52" s="20"/>
      <c r="L52" s="8" t="s">
        <v>42</v>
      </c>
      <c r="M52" s="14">
        <v>0.56111111111111112</v>
      </c>
      <c r="N52" s="13">
        <v>0.66111111111111109</v>
      </c>
      <c r="O52" s="14">
        <f t="shared" si="24"/>
        <v>9.9999999999999978E-2</v>
      </c>
      <c r="P52" s="20"/>
      <c r="Q52" s="7"/>
      <c r="R52" s="20"/>
      <c r="S52" s="17"/>
      <c r="T52" s="20"/>
      <c r="U52" s="20"/>
      <c r="V52" s="20"/>
      <c r="W52" s="20"/>
      <c r="X52" s="20"/>
      <c r="Y52" s="20"/>
      <c r="Z52" s="33">
        <f>N51-AG52</f>
        <v>-0.10541666666666472</v>
      </c>
      <c r="AA52" s="20"/>
      <c r="AB52" s="20"/>
      <c r="AC52" s="20"/>
      <c r="AD52" s="20"/>
      <c r="AE52" s="20"/>
      <c r="AF52" s="20"/>
      <c r="AG52" s="13">
        <v>0.66666666666666663</v>
      </c>
      <c r="AH52" s="17" t="s">
        <v>19</v>
      </c>
      <c r="AI52" s="13"/>
      <c r="AJ52" s="7">
        <f t="shared" si="1"/>
        <v>0.19722222222222152</v>
      </c>
      <c r="AK52" s="14">
        <f t="shared" si="0"/>
        <v>0.31249999999999994</v>
      </c>
      <c r="AL52" s="22">
        <f t="shared" si="21"/>
        <v>9.8472222222222849E-2</v>
      </c>
      <c r="AM52" s="32"/>
      <c r="AN52" s="32"/>
    </row>
    <row r="53" spans="1:40" ht="26.25" customHeight="1" x14ac:dyDescent="0.25">
      <c r="A53" s="10" t="s">
        <v>44</v>
      </c>
      <c r="B53" s="7">
        <f>E53-TIME(0,15,0)</f>
        <v>0.48958333333333331</v>
      </c>
      <c r="C53" s="17" t="s">
        <v>27</v>
      </c>
      <c r="D53" s="8" t="s">
        <v>45</v>
      </c>
      <c r="E53" s="14">
        <v>0.5</v>
      </c>
      <c r="F53" s="14">
        <v>0.6333333333333333</v>
      </c>
      <c r="G53" s="14">
        <f t="shared" si="22"/>
        <v>0.1333333333333333</v>
      </c>
      <c r="H53" s="20"/>
      <c r="I53" s="7">
        <f t="shared" si="23"/>
        <v>2.791666666666659E-2</v>
      </c>
      <c r="J53" s="20"/>
      <c r="K53" s="20"/>
      <c r="L53" s="8" t="s">
        <v>42</v>
      </c>
      <c r="M53" s="14">
        <v>0.66124999999999989</v>
      </c>
      <c r="N53" s="14">
        <v>0.76111111111111107</v>
      </c>
      <c r="O53" s="14">
        <f t="shared" si="24"/>
        <v>9.9861111111111178E-2</v>
      </c>
      <c r="P53" s="20"/>
      <c r="Q53" s="7"/>
      <c r="R53" s="20"/>
      <c r="S53" s="20"/>
      <c r="T53" s="20"/>
      <c r="U53" s="20"/>
      <c r="V53" s="20"/>
      <c r="W53" s="20"/>
      <c r="X53" s="20"/>
      <c r="Y53" s="20"/>
      <c r="Z53" s="33">
        <f>G53-AG53</f>
        <v>-0.63055555555555554</v>
      </c>
      <c r="AA53" s="20"/>
      <c r="AB53" s="20"/>
      <c r="AC53" s="20"/>
      <c r="AD53" s="20"/>
      <c r="AE53" s="20"/>
      <c r="AF53" s="20"/>
      <c r="AG53" s="13">
        <v>0.76388888888888884</v>
      </c>
      <c r="AH53" s="17" t="s">
        <v>19</v>
      </c>
      <c r="AI53" s="13"/>
      <c r="AJ53" s="7">
        <f t="shared" si="1"/>
        <v>0.23319444444444448</v>
      </c>
      <c r="AK53" s="14">
        <f t="shared" si="0"/>
        <v>0.27430555555555552</v>
      </c>
      <c r="AL53" s="22">
        <f t="shared" si="21"/>
        <v>2.791666666666659E-2</v>
      </c>
      <c r="AM53" s="32"/>
      <c r="AN53" s="32"/>
    </row>
    <row r="54" spans="1:40" ht="26.25" customHeight="1" x14ac:dyDescent="0.25">
      <c r="A54" s="10" t="s">
        <v>46</v>
      </c>
      <c r="B54" s="7">
        <f>E54-TIME(0,15,0)</f>
        <v>0.60083333333334132</v>
      </c>
      <c r="C54" s="6" t="s">
        <v>19</v>
      </c>
      <c r="D54" s="17">
        <v>203</v>
      </c>
      <c r="E54" s="14">
        <v>0.61125000000000795</v>
      </c>
      <c r="F54" s="14">
        <v>0.71124999999999894</v>
      </c>
      <c r="G54" s="14">
        <f t="shared" si="22"/>
        <v>9.9999999999990985E-2</v>
      </c>
      <c r="H54" s="20"/>
      <c r="I54" s="7">
        <f t="shared" si="23"/>
        <v>2.2222222222221921E-2</v>
      </c>
      <c r="J54" s="17"/>
      <c r="K54" s="17"/>
      <c r="L54" s="8" t="s">
        <v>45</v>
      </c>
      <c r="M54" s="14">
        <v>0.73347222222222086</v>
      </c>
      <c r="N54" s="14">
        <v>0.83347222222222195</v>
      </c>
      <c r="O54" s="14">
        <f t="shared" si="24"/>
        <v>0.10000000000000109</v>
      </c>
      <c r="P54" s="17"/>
      <c r="Q54" s="7">
        <f>U54-N54</f>
        <v>1.6666666666665941E-2</v>
      </c>
      <c r="R54" s="7"/>
      <c r="S54" s="17"/>
      <c r="T54" s="17">
        <v>215</v>
      </c>
      <c r="U54" s="14">
        <v>0.85013888888888789</v>
      </c>
      <c r="V54" s="21">
        <v>0.89930555555555547</v>
      </c>
      <c r="W54" s="14">
        <f>V54-U54</f>
        <v>4.916666666666758E-2</v>
      </c>
      <c r="X54" s="14" t="s">
        <v>30</v>
      </c>
      <c r="Y54" s="20"/>
      <c r="Z54" s="7"/>
      <c r="AA54" s="17"/>
      <c r="AB54" s="30"/>
      <c r="AC54" s="30"/>
      <c r="AD54" s="30"/>
      <c r="AE54" s="17"/>
      <c r="AF54" s="17"/>
      <c r="AG54" s="13">
        <v>0.90277777777777779</v>
      </c>
      <c r="AH54" s="17" t="s">
        <v>31</v>
      </c>
      <c r="AI54" s="13"/>
      <c r="AJ54" s="7">
        <f t="shared" si="1"/>
        <v>0.24916666666665965</v>
      </c>
      <c r="AK54" s="14">
        <f t="shared" si="0"/>
        <v>0.30194444444443647</v>
      </c>
      <c r="AL54" s="22">
        <f t="shared" si="21"/>
        <v>3.8888888888887863E-2</v>
      </c>
      <c r="AM54" s="23"/>
      <c r="AN54" s="26"/>
    </row>
    <row r="55" spans="1:40" ht="26.25" customHeight="1" x14ac:dyDescent="0.25">
      <c r="A55" s="10" t="s">
        <v>47</v>
      </c>
      <c r="B55" s="7">
        <v>0.61805555555555558</v>
      </c>
      <c r="C55" s="17" t="s">
        <v>26</v>
      </c>
      <c r="D55" s="17">
        <v>212</v>
      </c>
      <c r="E55" s="21">
        <v>0.62986111111111109</v>
      </c>
      <c r="F55" s="14">
        <v>0.69444444444444453</v>
      </c>
      <c r="G55" s="14">
        <f t="shared" si="22"/>
        <v>6.4583333333333437E-2</v>
      </c>
      <c r="H55" s="17"/>
      <c r="I55" s="7">
        <f t="shared" si="23"/>
        <v>2.2361111111110388E-2</v>
      </c>
      <c r="J55" s="17"/>
      <c r="K55" s="17"/>
      <c r="L55" s="17">
        <v>204</v>
      </c>
      <c r="M55" s="14">
        <v>0.71680555555555492</v>
      </c>
      <c r="N55" s="28">
        <v>0.8168055555555549</v>
      </c>
      <c r="O55" s="14">
        <f t="shared" si="24"/>
        <v>9.9999999999999978E-2</v>
      </c>
      <c r="P55" s="17"/>
      <c r="Q55" s="7">
        <f>U55-N55</f>
        <v>1.6666666666667052E-2</v>
      </c>
      <c r="R55" s="7"/>
      <c r="S55" s="17"/>
      <c r="T55" s="8" t="s">
        <v>45</v>
      </c>
      <c r="U55" s="14">
        <v>0.83347222222222195</v>
      </c>
      <c r="V55" s="14">
        <v>0.88194444444444453</v>
      </c>
      <c r="W55" s="14">
        <f>V55-U55</f>
        <v>4.8472222222222583E-2</v>
      </c>
      <c r="X55" s="17" t="s">
        <v>48</v>
      </c>
      <c r="Y55" s="20"/>
      <c r="Z55" s="7"/>
      <c r="AA55" s="17"/>
      <c r="AB55" s="30"/>
      <c r="AC55" s="30"/>
      <c r="AD55" s="30"/>
      <c r="AE55" s="17"/>
      <c r="AF55" s="17"/>
      <c r="AG55" s="13">
        <v>0.89583333333333337</v>
      </c>
      <c r="AH55" s="17" t="s">
        <v>27</v>
      </c>
      <c r="AI55" s="13"/>
      <c r="AJ55" s="7">
        <f t="shared" si="1"/>
        <v>0.213055555555556</v>
      </c>
      <c r="AK55" s="14">
        <f t="shared" si="0"/>
        <v>0.27777777777777779</v>
      </c>
      <c r="AL55" s="22">
        <f t="shared" si="21"/>
        <v>3.9027777777777439E-2</v>
      </c>
      <c r="AM55" s="23"/>
      <c r="AN55" s="26"/>
    </row>
    <row r="56" spans="1:40" ht="26.25" customHeight="1" x14ac:dyDescent="0.25">
      <c r="A56" s="10" t="s">
        <v>49</v>
      </c>
      <c r="B56" s="7">
        <v>0.62152777777777779</v>
      </c>
      <c r="C56" s="6" t="s">
        <v>19</v>
      </c>
      <c r="D56" s="8" t="s">
        <v>45</v>
      </c>
      <c r="E56" s="14">
        <v>0.63347222222222188</v>
      </c>
      <c r="F56" s="14">
        <v>0.73333333333333339</v>
      </c>
      <c r="G56" s="14">
        <f t="shared" si="22"/>
        <v>9.9861111111111511E-2</v>
      </c>
      <c r="H56" s="20"/>
      <c r="I56" s="7">
        <f t="shared" si="23"/>
        <v>2.7916666666665479E-2</v>
      </c>
      <c r="J56" s="20"/>
      <c r="K56" s="20"/>
      <c r="L56" s="8" t="s">
        <v>42</v>
      </c>
      <c r="M56" s="14">
        <v>0.76124999999999887</v>
      </c>
      <c r="N56" s="14">
        <v>0.86124999999999985</v>
      </c>
      <c r="O56" s="14">
        <f t="shared" si="24"/>
        <v>0.10000000000000098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33">
        <f>V56-AG56</f>
        <v>-0.86458333333333337</v>
      </c>
      <c r="AA56" s="20"/>
      <c r="AB56" s="20"/>
      <c r="AC56" s="20"/>
      <c r="AD56" s="20"/>
      <c r="AE56" s="20"/>
      <c r="AF56" s="20"/>
      <c r="AG56" s="13">
        <v>0.86458333333333337</v>
      </c>
      <c r="AH56" s="17" t="s">
        <v>19</v>
      </c>
      <c r="AI56" s="13"/>
      <c r="AJ56" s="7">
        <f t="shared" si="1"/>
        <v>0.19986111111111249</v>
      </c>
      <c r="AK56" s="14">
        <f t="shared" si="0"/>
        <v>0.24305555555555558</v>
      </c>
      <c r="AL56" s="22">
        <f t="shared" si="21"/>
        <v>2.7916666666665479E-2</v>
      </c>
      <c r="AM56" s="32"/>
      <c r="AN56" s="32"/>
    </row>
    <row r="57" spans="1:40" ht="26.25" customHeight="1" x14ac:dyDescent="0.25">
      <c r="A57" s="10" t="s">
        <v>50</v>
      </c>
      <c r="B57" s="7">
        <v>0.58333333333333337</v>
      </c>
      <c r="C57" s="17"/>
      <c r="D57" s="8" t="s">
        <v>35</v>
      </c>
      <c r="E57" s="14">
        <v>0.58680555555555558</v>
      </c>
      <c r="F57" s="14">
        <v>0.72916666666666663</v>
      </c>
      <c r="G57" s="21">
        <f t="shared" si="22"/>
        <v>0.14236111111111105</v>
      </c>
      <c r="H57" s="14"/>
      <c r="I57" s="7">
        <f t="shared" si="23"/>
        <v>1.5277777777777835E-2</v>
      </c>
      <c r="J57" s="7"/>
      <c r="K57" s="20"/>
      <c r="L57" s="17">
        <v>214</v>
      </c>
      <c r="M57" s="13">
        <v>0.74444444444444446</v>
      </c>
      <c r="N57" s="13">
        <v>0.84444444444444444</v>
      </c>
      <c r="O57" s="14">
        <f t="shared" si="24"/>
        <v>9.9999999999999978E-2</v>
      </c>
      <c r="P57" s="17"/>
      <c r="Q57" s="7">
        <f>U57-N57</f>
        <v>1.6805555555555407E-2</v>
      </c>
      <c r="R57" s="20"/>
      <c r="S57" s="20"/>
      <c r="T57" s="8" t="s">
        <v>42</v>
      </c>
      <c r="U57" s="14">
        <v>0.86124999999999985</v>
      </c>
      <c r="V57" s="14">
        <v>0.90972222222222221</v>
      </c>
      <c r="W57" s="14">
        <f>V57-U57</f>
        <v>4.8472222222222361E-2</v>
      </c>
      <c r="X57" s="17" t="s">
        <v>48</v>
      </c>
      <c r="Y57" s="20"/>
      <c r="Z57" s="33"/>
      <c r="AA57" s="20"/>
      <c r="AB57" s="20"/>
      <c r="AC57" s="20"/>
      <c r="AD57" s="20"/>
      <c r="AE57" s="20"/>
      <c r="AF57" s="20"/>
      <c r="AG57" s="13">
        <f t="shared" ref="AG57" si="25">B57+TIME(8,0,0)</f>
        <v>0.91666666666666674</v>
      </c>
      <c r="AH57" s="17" t="s">
        <v>27</v>
      </c>
      <c r="AI57" s="13"/>
      <c r="AJ57" s="7">
        <f>O57+W57+AE57</f>
        <v>0.14847222222222234</v>
      </c>
      <c r="AK57" s="14">
        <f t="shared" si="0"/>
        <v>0.33333333333333337</v>
      </c>
      <c r="AL57" s="22" t="e">
        <f>Q57+#REF!</f>
        <v>#REF!</v>
      </c>
      <c r="AM57" s="32"/>
      <c r="AN57" s="32"/>
    </row>
    <row r="58" spans="1:40" ht="26.25" customHeight="1" x14ac:dyDescent="0.25">
      <c r="A58" s="6"/>
      <c r="B58" s="7"/>
      <c r="C58" s="17"/>
      <c r="D58" s="30"/>
      <c r="E58" s="30"/>
      <c r="F58" s="30"/>
      <c r="G58" s="17"/>
      <c r="H58" s="30"/>
      <c r="I58" s="34" t="s">
        <v>51</v>
      </c>
      <c r="J58" s="17"/>
      <c r="K58" s="17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3"/>
      <c r="W58" s="26"/>
      <c r="X58" s="32"/>
      <c r="Y58" s="35" t="s">
        <v>52</v>
      </c>
      <c r="Z58" s="26"/>
      <c r="AA58" s="26"/>
      <c r="AB58" s="26"/>
      <c r="AC58" s="23"/>
      <c r="AD58" s="23"/>
      <c r="AE58" s="23"/>
      <c r="AF58" s="26"/>
      <c r="AG58" s="22"/>
      <c r="AH58" s="24"/>
      <c r="AI58" s="17"/>
      <c r="AJ58" s="7"/>
      <c r="AK58" s="14"/>
      <c r="AL58" s="22"/>
    </row>
    <row r="59" spans="1:40" ht="26.25" customHeight="1" x14ac:dyDescent="0.25">
      <c r="A59" s="6">
        <v>49</v>
      </c>
      <c r="B59" s="7">
        <v>0.87847222222222221</v>
      </c>
      <c r="C59" s="17" t="s">
        <v>32</v>
      </c>
      <c r="D59" s="17">
        <v>204</v>
      </c>
      <c r="E59" s="14">
        <v>0.89027777777777783</v>
      </c>
      <c r="F59" s="14">
        <v>0.99305555555555547</v>
      </c>
      <c r="G59" s="14">
        <f>MOD(F59-E59,1)</f>
        <v>0.10277777777777763</v>
      </c>
      <c r="H59" s="36" t="s">
        <v>32</v>
      </c>
      <c r="I59" s="17">
        <v>68</v>
      </c>
      <c r="J59" s="30"/>
      <c r="K59" s="30"/>
      <c r="L59" s="30"/>
      <c r="M59" s="30"/>
      <c r="N59" s="30"/>
      <c r="O59" s="30"/>
      <c r="P59" s="20"/>
      <c r="Q59" s="20"/>
      <c r="R59" s="20"/>
      <c r="V59" s="23"/>
      <c r="W59" s="26"/>
      <c r="X59" s="23"/>
      <c r="Y59" s="26">
        <v>21</v>
      </c>
      <c r="Z59" s="26"/>
      <c r="AA59" s="37" t="s">
        <v>32</v>
      </c>
      <c r="AB59" s="26">
        <v>203</v>
      </c>
      <c r="AC59" s="23">
        <v>0.27083333333333331</v>
      </c>
      <c r="AD59" s="23">
        <v>0.3181944444444445</v>
      </c>
      <c r="AE59" s="23">
        <f>AD59-AC59</f>
        <v>4.7361111111111187E-2</v>
      </c>
      <c r="AF59" s="23" t="s">
        <v>28</v>
      </c>
      <c r="AG59" s="22">
        <v>0.32291666666666669</v>
      </c>
      <c r="AH59" s="24" t="s">
        <v>19</v>
      </c>
      <c r="AJ59" s="7">
        <f>G59+O59+AE59</f>
        <v>0.15013888888888882</v>
      </c>
      <c r="AK59" s="14">
        <f>MOD((AG59-B59),1)</f>
        <v>0.44444444444444442</v>
      </c>
      <c r="AL59" s="22"/>
    </row>
    <row r="60" spans="1:40" ht="26.25" customHeight="1" x14ac:dyDescent="0.25">
      <c r="A60" s="6">
        <v>50</v>
      </c>
      <c r="B60" s="7">
        <v>0.88541666666666663</v>
      </c>
      <c r="C60" s="14" t="s">
        <v>30</v>
      </c>
      <c r="D60" s="17">
        <v>215</v>
      </c>
      <c r="E60" s="21">
        <v>0.8979166666666667</v>
      </c>
      <c r="F60" s="14">
        <v>6.9444444444444441E-3</v>
      </c>
      <c r="G60" s="14">
        <f>MOD(F60-E60,1)</f>
        <v>0.10902777777777772</v>
      </c>
      <c r="H60" s="38" t="s">
        <v>53</v>
      </c>
      <c r="I60" s="17">
        <v>75</v>
      </c>
      <c r="J60" s="30"/>
      <c r="K60" s="30"/>
      <c r="L60" s="30"/>
      <c r="M60" s="30"/>
      <c r="N60" s="30"/>
      <c r="O60" s="30"/>
      <c r="P60" s="20"/>
      <c r="Q60" s="20"/>
      <c r="R60" s="20"/>
      <c r="V60" s="23"/>
      <c r="W60" s="26"/>
      <c r="X60" s="23"/>
      <c r="Y60" s="26">
        <v>28</v>
      </c>
      <c r="Z60" s="26"/>
      <c r="AA60" s="39" t="s">
        <v>53</v>
      </c>
      <c r="AB60" s="26">
        <v>204</v>
      </c>
      <c r="AC60" s="23">
        <v>0.26041666666666669</v>
      </c>
      <c r="AD60" s="23">
        <v>0.32513888888888898</v>
      </c>
      <c r="AE60" s="23">
        <f>AD60-AC60</f>
        <v>6.4722222222222292E-2</v>
      </c>
      <c r="AF60" s="23" t="s">
        <v>28</v>
      </c>
      <c r="AG60" s="22">
        <v>0.3298611111111111</v>
      </c>
      <c r="AH60" s="24" t="s">
        <v>19</v>
      </c>
      <c r="AJ60" s="7">
        <f>G60+O60+AE60</f>
        <v>0.17375000000000002</v>
      </c>
      <c r="AK60" s="14">
        <f>MOD((AG60-B60),1)</f>
        <v>0.44444444444444442</v>
      </c>
      <c r="AL60" s="22"/>
    </row>
    <row r="61" spans="1:40" ht="26.25" customHeight="1" x14ac:dyDescent="0.25">
      <c r="A61" s="6">
        <v>51</v>
      </c>
      <c r="B61" s="7">
        <v>0.89583333333333337</v>
      </c>
      <c r="C61" s="17" t="s">
        <v>32</v>
      </c>
      <c r="D61" s="17">
        <v>206</v>
      </c>
      <c r="E61" s="14">
        <v>0.90555555555555556</v>
      </c>
      <c r="F61" s="14">
        <v>6.9444444444444441E-3</v>
      </c>
      <c r="G61" s="14">
        <f>MOD(F61-E61,1)</f>
        <v>0.10138888888888886</v>
      </c>
      <c r="H61" s="38" t="s">
        <v>54</v>
      </c>
      <c r="I61" s="17">
        <v>61</v>
      </c>
      <c r="J61" s="30"/>
      <c r="K61" s="30"/>
      <c r="L61" s="30"/>
      <c r="M61" s="30"/>
      <c r="N61" s="30"/>
      <c r="O61" s="30"/>
      <c r="P61" s="20"/>
      <c r="Q61" s="20"/>
      <c r="R61" s="20"/>
      <c r="V61" s="23"/>
      <c r="W61" s="26"/>
      <c r="X61" s="23" t="s">
        <v>55</v>
      </c>
      <c r="Y61" s="26">
        <v>28</v>
      </c>
      <c r="Z61" s="26"/>
      <c r="AA61" s="37" t="s">
        <v>54</v>
      </c>
      <c r="AB61" s="26">
        <v>202</v>
      </c>
      <c r="AC61" s="23">
        <v>0.23958333333333334</v>
      </c>
      <c r="AD61" s="23">
        <v>0.31111111111111112</v>
      </c>
      <c r="AE61" s="23">
        <f>AD61-AC61</f>
        <v>7.1527777777777773E-2</v>
      </c>
      <c r="AF61" s="23" t="s">
        <v>28</v>
      </c>
      <c r="AG61" s="22">
        <v>0.31597222222222221</v>
      </c>
      <c r="AH61" s="24" t="s">
        <v>19</v>
      </c>
      <c r="AJ61" s="7">
        <f>G61+O61+AE61</f>
        <v>0.17291666666666664</v>
      </c>
      <c r="AK61" s="14">
        <f>MOD((AG61-B61),1)</f>
        <v>0.42013888888888884</v>
      </c>
      <c r="AL61" s="22"/>
    </row>
    <row r="62" spans="1:40" ht="26.25" customHeight="1" x14ac:dyDescent="0.25">
      <c r="A62" s="6">
        <v>52</v>
      </c>
      <c r="B62" s="7">
        <v>0.89583333333333337</v>
      </c>
      <c r="C62" s="6" t="s">
        <v>19</v>
      </c>
      <c r="D62" s="17">
        <v>217</v>
      </c>
      <c r="E62" s="14">
        <v>0.90569444444444391</v>
      </c>
      <c r="F62" s="14">
        <v>0.98958333333333337</v>
      </c>
      <c r="G62" s="14">
        <f>MOD(F62-E62,1)</f>
        <v>8.3888888888889457E-2</v>
      </c>
      <c r="H62" s="38" t="s">
        <v>56</v>
      </c>
      <c r="I62" s="17">
        <v>55</v>
      </c>
      <c r="J62" s="30"/>
      <c r="K62" s="30"/>
      <c r="L62" s="30"/>
      <c r="M62" s="30"/>
      <c r="N62" s="30"/>
      <c r="O62" s="30"/>
      <c r="P62" s="20"/>
      <c r="Q62" s="20"/>
      <c r="R62" s="20"/>
      <c r="V62" s="23"/>
      <c r="W62" s="26"/>
      <c r="X62" s="23"/>
      <c r="Y62" s="26">
        <v>19</v>
      </c>
      <c r="Z62" s="26"/>
      <c r="AA62" s="37" t="s">
        <v>57</v>
      </c>
      <c r="AB62" s="26">
        <v>205</v>
      </c>
      <c r="AC62" s="23">
        <v>0.27083333333333331</v>
      </c>
      <c r="AD62" s="23">
        <v>0.3215277777777778</v>
      </c>
      <c r="AE62" s="23">
        <f>AD62-AC62</f>
        <v>5.0694444444444486E-2</v>
      </c>
      <c r="AF62" s="40" t="s">
        <v>33</v>
      </c>
      <c r="AG62" s="22">
        <v>0.3263888888888889</v>
      </c>
      <c r="AH62" s="24" t="s">
        <v>21</v>
      </c>
      <c r="AJ62" s="7">
        <f>G62+O62+AE62</f>
        <v>0.13458333333333394</v>
      </c>
      <c r="AK62" s="14">
        <f>MOD((AG62-B62),1)</f>
        <v>0.43055555555555558</v>
      </c>
      <c r="AL62" s="22"/>
    </row>
    <row r="63" spans="1:40" ht="26.25" customHeight="1" x14ac:dyDescent="0.25">
      <c r="A63" s="6">
        <v>53</v>
      </c>
      <c r="B63" s="7">
        <v>0.89583333333333337</v>
      </c>
      <c r="C63" s="17" t="s">
        <v>33</v>
      </c>
      <c r="D63" s="17">
        <v>213</v>
      </c>
      <c r="E63" s="14">
        <v>0.90763888888888899</v>
      </c>
      <c r="F63" s="14">
        <v>6.9444444444444441E-3</v>
      </c>
      <c r="G63" s="14">
        <f>MOD(F63-E63,1)</f>
        <v>9.9305555555555425E-2</v>
      </c>
      <c r="H63" s="38" t="s">
        <v>30</v>
      </c>
      <c r="I63" s="17">
        <v>58</v>
      </c>
      <c r="J63" s="30"/>
      <c r="K63" s="30"/>
      <c r="L63" s="30"/>
      <c r="M63" s="30"/>
      <c r="N63" s="30"/>
      <c r="O63" s="30"/>
      <c r="P63" s="20"/>
      <c r="Q63" s="20"/>
      <c r="R63" s="20"/>
      <c r="V63" s="23"/>
      <c r="W63" s="26"/>
      <c r="X63" s="41" t="s">
        <v>58</v>
      </c>
      <c r="Y63" s="26">
        <v>13</v>
      </c>
      <c r="Z63" s="26"/>
      <c r="AA63" s="37" t="s">
        <v>30</v>
      </c>
      <c r="AB63" s="26">
        <v>206</v>
      </c>
      <c r="AC63" s="23">
        <v>0.27083333333333331</v>
      </c>
      <c r="AD63" s="23">
        <v>0.31944444444444448</v>
      </c>
      <c r="AE63" s="23">
        <f>AD63-AC63</f>
        <v>4.861111111111116E-2</v>
      </c>
      <c r="AF63" s="23" t="s">
        <v>32</v>
      </c>
      <c r="AG63" s="22">
        <v>0.32291666666666669</v>
      </c>
      <c r="AH63" s="24" t="s">
        <v>31</v>
      </c>
      <c r="AJ63" s="7">
        <f>G63+O63+AE63</f>
        <v>0.14791666666666659</v>
      </c>
      <c r="AK63" s="14">
        <f>MOD((AG63-B63),1)</f>
        <v>0.42708333333333326</v>
      </c>
      <c r="AL63" s="22"/>
    </row>
    <row r="64" spans="1:40" ht="26.25" customHeight="1" x14ac:dyDescent="0.25">
      <c r="A64" s="30"/>
      <c r="B64" s="7"/>
      <c r="C64" s="17"/>
      <c r="D64" s="17"/>
      <c r="E64" s="17"/>
      <c r="F64" s="17"/>
      <c r="G64" s="14"/>
      <c r="H64" s="42"/>
      <c r="I64" s="17"/>
      <c r="J64" s="30"/>
      <c r="K64" s="30"/>
      <c r="L64" s="30"/>
      <c r="M64" s="30"/>
      <c r="N64" s="30"/>
      <c r="O64" s="30"/>
      <c r="P64" s="20"/>
      <c r="Q64" s="20"/>
      <c r="R64" s="20"/>
      <c r="V64" s="23"/>
      <c r="W64" s="26"/>
      <c r="X64" s="23"/>
      <c r="Y64" s="26"/>
      <c r="Z64" s="26"/>
      <c r="AA64" s="37"/>
      <c r="AB64" s="26"/>
      <c r="AC64" s="26"/>
      <c r="AD64" s="26"/>
      <c r="AE64" s="23"/>
      <c r="AF64" s="26"/>
      <c r="AG64" s="22"/>
      <c r="AH64" s="24"/>
      <c r="AJ64" s="7"/>
      <c r="AK64" s="14"/>
      <c r="AL64" s="22"/>
    </row>
    <row r="65" spans="1:40" ht="26.25" customHeight="1" x14ac:dyDescent="0.25">
      <c r="A65" s="6">
        <v>54</v>
      </c>
      <c r="B65" s="7">
        <v>0.87847222222222221</v>
      </c>
      <c r="C65" s="14" t="s">
        <v>30</v>
      </c>
      <c r="D65" s="17">
        <v>214</v>
      </c>
      <c r="E65" s="21">
        <v>0.89097222222222217</v>
      </c>
      <c r="F65" s="14">
        <v>0.98611111111111116</v>
      </c>
      <c r="G65" s="14">
        <f t="shared" ref="G65:G74" si="26">MOD(F65-E65,1)</f>
        <v>9.5138888888888995E-2</v>
      </c>
      <c r="H65" s="42" t="s">
        <v>48</v>
      </c>
      <c r="I65" s="17">
        <v>48</v>
      </c>
      <c r="J65" s="30"/>
      <c r="K65" s="30"/>
      <c r="L65" s="30"/>
      <c r="M65" s="30"/>
      <c r="N65" s="30"/>
      <c r="O65" s="30"/>
      <c r="P65" s="20"/>
      <c r="Q65" s="20"/>
      <c r="R65" s="20"/>
      <c r="V65" s="23"/>
      <c r="W65" s="26"/>
      <c r="X65" s="23"/>
      <c r="Y65" s="26">
        <v>2</v>
      </c>
      <c r="Z65" s="26"/>
      <c r="AA65" s="37" t="s">
        <v>27</v>
      </c>
      <c r="AB65" s="26">
        <v>219</v>
      </c>
      <c r="AC65" s="43">
        <v>0.25</v>
      </c>
      <c r="AD65" s="43">
        <v>0.30208333333333331</v>
      </c>
      <c r="AE65" s="23">
        <f>AD65-AC65</f>
        <v>5.2083333333333315E-2</v>
      </c>
      <c r="AF65" s="26" t="s">
        <v>59</v>
      </c>
      <c r="AG65" s="22">
        <v>0.27083333333333331</v>
      </c>
      <c r="AH65" s="24" t="s">
        <v>19</v>
      </c>
      <c r="AJ65" s="7">
        <f>G65+O65+AE65</f>
        <v>0.14722222222222231</v>
      </c>
      <c r="AK65" s="14">
        <f>MOD((AG65-B65),1)</f>
        <v>0.39236111111111116</v>
      </c>
      <c r="AL65" s="22"/>
    </row>
    <row r="66" spans="1:40" ht="26.25" customHeight="1" x14ac:dyDescent="0.25">
      <c r="A66" s="6">
        <v>55</v>
      </c>
      <c r="B66" s="7">
        <v>0.88194444444444453</v>
      </c>
      <c r="C66" s="6" t="s">
        <v>19</v>
      </c>
      <c r="D66" s="17">
        <v>212</v>
      </c>
      <c r="E66" s="14">
        <v>0.89444444444444438</v>
      </c>
      <c r="F66" s="14">
        <v>6.9444444444444441E-3</v>
      </c>
      <c r="G66" s="14">
        <f t="shared" si="26"/>
        <v>0.11250000000000004</v>
      </c>
      <c r="H66" s="42" t="s">
        <v>60</v>
      </c>
      <c r="I66" s="17">
        <v>75</v>
      </c>
      <c r="J66" s="30"/>
      <c r="K66" s="30"/>
      <c r="L66" s="30"/>
      <c r="M66" s="30"/>
      <c r="N66" s="30"/>
      <c r="O66" s="30"/>
      <c r="P66" s="20"/>
      <c r="Q66" s="20"/>
      <c r="R66" s="20"/>
      <c r="V66" s="23"/>
      <c r="W66" s="26"/>
      <c r="X66" s="41" t="s">
        <v>61</v>
      </c>
      <c r="Y66" s="26">
        <v>7</v>
      </c>
      <c r="Z66" s="26"/>
      <c r="AA66" s="37" t="s">
        <v>60</v>
      </c>
      <c r="AB66" s="26">
        <v>208</v>
      </c>
      <c r="AC66" s="23">
        <v>0.27083333333333331</v>
      </c>
      <c r="AD66" s="44">
        <v>0.30208333333333331</v>
      </c>
      <c r="AE66" s="23">
        <f>AD66-AC66</f>
        <v>3.125E-2</v>
      </c>
      <c r="AF66" s="23" t="s">
        <v>29</v>
      </c>
      <c r="AG66" s="22">
        <v>0.30555555555555552</v>
      </c>
      <c r="AH66" s="24" t="s">
        <v>19</v>
      </c>
      <c r="AJ66" s="7">
        <f>G66+O66+AE66</f>
        <v>0.14375000000000004</v>
      </c>
      <c r="AK66" s="14">
        <f>MOD((AG66-B66),1)</f>
        <v>0.42361111111111094</v>
      </c>
      <c r="AL66" s="22"/>
    </row>
    <row r="67" spans="1:40" ht="26.25" customHeight="1" x14ac:dyDescent="0.25">
      <c r="A67" s="6">
        <v>56</v>
      </c>
      <c r="B67" s="7">
        <v>0.88541666666666663</v>
      </c>
      <c r="C67" s="17" t="s">
        <v>33</v>
      </c>
      <c r="D67" s="17">
        <v>203</v>
      </c>
      <c r="E67" s="14">
        <v>0.89722222222222225</v>
      </c>
      <c r="F67" s="14">
        <v>0.95833333333333337</v>
      </c>
      <c r="G67" s="14">
        <f t="shared" si="26"/>
        <v>6.1111111111111116E-2</v>
      </c>
      <c r="H67" s="42" t="s">
        <v>48</v>
      </c>
      <c r="I67" s="17">
        <v>95</v>
      </c>
      <c r="J67" s="30"/>
      <c r="K67" s="30"/>
      <c r="L67" s="30"/>
      <c r="M67" s="30"/>
      <c r="N67" s="30"/>
      <c r="O67" s="30"/>
      <c r="P67" s="20"/>
      <c r="Q67" s="20"/>
      <c r="R67" s="20"/>
      <c r="V67" s="23"/>
      <c r="W67" s="26"/>
      <c r="X67" s="23"/>
      <c r="Y67" s="26">
        <v>16</v>
      </c>
      <c r="Z67" s="26"/>
      <c r="AA67" s="26" t="s">
        <v>27</v>
      </c>
      <c r="AB67" s="26">
        <v>211</v>
      </c>
      <c r="AC67" s="23">
        <v>0.25694444444444448</v>
      </c>
      <c r="AD67" s="44">
        <v>0.31875000000000003</v>
      </c>
      <c r="AE67" s="23">
        <f>AD67-AC67</f>
        <v>6.1805555555555558E-2</v>
      </c>
      <c r="AF67" s="23" t="s">
        <v>62</v>
      </c>
      <c r="AG67" s="22">
        <v>0.27083333333333331</v>
      </c>
      <c r="AH67" s="24" t="s">
        <v>19</v>
      </c>
      <c r="AJ67" s="7">
        <f>G67+O67+[3]CRRC!AL16</f>
        <v>0.1611111111111112</v>
      </c>
      <c r="AK67" s="14">
        <f>MOD((AG67-B67),1)</f>
        <v>0.38541666666666674</v>
      </c>
      <c r="AL67" s="22"/>
    </row>
    <row r="68" spans="1:40" ht="26.25" customHeight="1" x14ac:dyDescent="0.25">
      <c r="A68" s="6">
        <v>57</v>
      </c>
      <c r="B68" s="7">
        <v>0.88541666666666663</v>
      </c>
      <c r="C68" s="21" t="s">
        <v>26</v>
      </c>
      <c r="D68" s="17">
        <v>208</v>
      </c>
      <c r="E68" s="14">
        <v>0.8979166666666667</v>
      </c>
      <c r="F68" s="14">
        <v>6.9444444444444441E-3</v>
      </c>
      <c r="G68" s="14">
        <f t="shared" si="26"/>
        <v>0.10902777777777772</v>
      </c>
      <c r="H68" s="42" t="s">
        <v>48</v>
      </c>
      <c r="I68" s="17">
        <v>59</v>
      </c>
      <c r="J68" s="30"/>
      <c r="K68" s="30"/>
      <c r="L68" s="30"/>
      <c r="M68" s="30"/>
      <c r="N68" s="30"/>
      <c r="O68" s="30"/>
      <c r="P68" s="20"/>
      <c r="Q68" s="20"/>
      <c r="R68" s="20"/>
      <c r="V68" s="23"/>
      <c r="W68" s="26"/>
      <c r="X68" s="23"/>
      <c r="Y68" s="26"/>
      <c r="Z68" s="26"/>
      <c r="AA68" s="37"/>
      <c r="AB68" s="45"/>
      <c r="AC68" s="45"/>
      <c r="AD68" s="45"/>
      <c r="AE68" s="23"/>
      <c r="AF68" s="45"/>
      <c r="AG68" s="22">
        <v>0.27083333333333331</v>
      </c>
      <c r="AH68" s="24" t="s">
        <v>19</v>
      </c>
      <c r="AJ68" s="7">
        <f>G68+O68+AE68</f>
        <v>0.10902777777777772</v>
      </c>
      <c r="AK68" s="14">
        <f>MOD((AG68-B68),1)</f>
        <v>0.38541666666666674</v>
      </c>
      <c r="AL68" s="22"/>
    </row>
    <row r="69" spans="1:40" ht="26.25" customHeight="1" x14ac:dyDescent="0.25">
      <c r="A69" s="6">
        <v>58</v>
      </c>
      <c r="B69" s="7">
        <f>E69-TIME(0,15,0)</f>
        <v>0.88888888888888884</v>
      </c>
      <c r="C69" s="21" t="s">
        <v>29</v>
      </c>
      <c r="D69" s="46">
        <v>216</v>
      </c>
      <c r="E69" s="47">
        <v>0.89930555555555547</v>
      </c>
      <c r="F69" s="48">
        <v>0</v>
      </c>
      <c r="G69" s="14">
        <f t="shared" si="26"/>
        <v>0.10069444444444453</v>
      </c>
      <c r="H69" s="49" t="s">
        <v>63</v>
      </c>
      <c r="I69" s="17">
        <v>64</v>
      </c>
      <c r="J69" s="30"/>
      <c r="K69" s="30"/>
      <c r="L69" s="30"/>
      <c r="M69" s="30"/>
      <c r="N69" s="30"/>
      <c r="O69" s="30"/>
      <c r="P69" s="20"/>
      <c r="Q69" s="20"/>
      <c r="R69" s="20"/>
      <c r="V69" s="23"/>
      <c r="W69" s="26"/>
      <c r="X69" s="23" t="s">
        <v>55</v>
      </c>
      <c r="Y69" s="26">
        <v>47</v>
      </c>
      <c r="Z69" s="26"/>
      <c r="AA69" s="50" t="s">
        <v>63</v>
      </c>
      <c r="AB69" s="26">
        <v>201</v>
      </c>
      <c r="AC69" s="23">
        <v>0.23958333333333334</v>
      </c>
      <c r="AD69" s="23">
        <v>0.29166666666666669</v>
      </c>
      <c r="AE69" s="23">
        <f>AD69-AC69</f>
        <v>5.2083333333333343E-2</v>
      </c>
      <c r="AF69" s="23" t="s">
        <v>33</v>
      </c>
      <c r="AG69" s="22">
        <v>0.2951388888888889</v>
      </c>
      <c r="AH69" s="24" t="s">
        <v>21</v>
      </c>
      <c r="AJ69" s="7">
        <f>G69+O69+AE69</f>
        <v>0.15277777777777787</v>
      </c>
      <c r="AK69" s="14">
        <f>MOD((AG69-B69),1)</f>
        <v>0.40625</v>
      </c>
      <c r="AL69" s="22"/>
    </row>
    <row r="70" spans="1:40" ht="26.25" customHeight="1" x14ac:dyDescent="0.25">
      <c r="A70" s="6">
        <v>59</v>
      </c>
      <c r="B70" s="7">
        <v>0.88888888888888884</v>
      </c>
      <c r="C70" s="6" t="s">
        <v>19</v>
      </c>
      <c r="D70" s="17">
        <v>202</v>
      </c>
      <c r="E70" s="14">
        <v>0.90013888888888793</v>
      </c>
      <c r="F70" s="14">
        <v>6.9444444444444441E-3</v>
      </c>
      <c r="G70" s="14">
        <f t="shared" si="26"/>
        <v>0.10680555555555649</v>
      </c>
      <c r="H70" s="42" t="s">
        <v>64</v>
      </c>
      <c r="I70" s="17">
        <v>74</v>
      </c>
      <c r="J70" s="30"/>
      <c r="K70" s="30"/>
      <c r="L70" s="30"/>
      <c r="M70" s="30"/>
      <c r="N70" s="30"/>
      <c r="O70" s="30"/>
      <c r="P70" s="20"/>
      <c r="Q70" s="20"/>
      <c r="R70" s="20"/>
      <c r="V70" s="23"/>
      <c r="W70" s="26"/>
      <c r="X70" s="23"/>
      <c r="Y70" s="26">
        <v>7</v>
      </c>
      <c r="Z70" s="26"/>
      <c r="AA70" s="37" t="s">
        <v>64</v>
      </c>
      <c r="AB70" s="26">
        <v>209</v>
      </c>
      <c r="AC70" s="23">
        <v>0.27777777777777779</v>
      </c>
      <c r="AD70" s="44">
        <v>0.30694444444444441</v>
      </c>
      <c r="AE70" s="23">
        <f>AD70-AC70</f>
        <v>2.9166666666666619E-2</v>
      </c>
      <c r="AF70" s="23" t="s">
        <v>29</v>
      </c>
      <c r="AG70" s="22">
        <v>0.3125</v>
      </c>
      <c r="AH70" s="24" t="s">
        <v>19</v>
      </c>
      <c r="AJ70" s="7">
        <f>G70+O70+AE70</f>
        <v>0.1359722222222231</v>
      </c>
      <c r="AK70" s="14">
        <f>MOD((AG70-B70),1)</f>
        <v>0.42361111111111116</v>
      </c>
      <c r="AL70" s="22"/>
    </row>
    <row r="71" spans="1:40" ht="26.25" customHeight="1" x14ac:dyDescent="0.25">
      <c r="A71" s="6">
        <v>60</v>
      </c>
      <c r="B71" s="7">
        <v>0.88888888888888884</v>
      </c>
      <c r="C71" s="17" t="s">
        <v>32</v>
      </c>
      <c r="D71" s="17">
        <v>205</v>
      </c>
      <c r="E71" s="14">
        <v>0.90138888888888891</v>
      </c>
      <c r="F71" s="14">
        <v>0.97569444444444453</v>
      </c>
      <c r="G71" s="14">
        <f t="shared" si="26"/>
        <v>7.4305555555555625E-2</v>
      </c>
      <c r="H71" s="42" t="s">
        <v>48</v>
      </c>
      <c r="I71" s="17">
        <v>36</v>
      </c>
      <c r="J71" s="30"/>
      <c r="K71" s="30"/>
      <c r="L71" s="30"/>
      <c r="M71" s="30"/>
      <c r="N71" s="30"/>
      <c r="O71" s="30"/>
      <c r="P71" s="20"/>
      <c r="Q71" s="20"/>
      <c r="R71" s="20"/>
      <c r="V71" s="23"/>
      <c r="W71" s="26"/>
      <c r="X71" s="23"/>
      <c r="Y71" s="26">
        <v>16</v>
      </c>
      <c r="Z71" s="26"/>
      <c r="AA71" s="37" t="s">
        <v>27</v>
      </c>
      <c r="AB71" s="26">
        <v>212</v>
      </c>
      <c r="AC71" s="23">
        <v>0.26041666666666669</v>
      </c>
      <c r="AD71" s="44">
        <v>0.32569444444444445</v>
      </c>
      <c r="AE71" s="23">
        <f>AD71-AC71</f>
        <v>6.5277777777777768E-2</v>
      </c>
      <c r="AF71" s="23" t="s">
        <v>62</v>
      </c>
      <c r="AG71" s="22">
        <v>0.27083333333333331</v>
      </c>
      <c r="AH71" s="24" t="s">
        <v>19</v>
      </c>
      <c r="AJ71" s="7">
        <f>G71+O71+AE71</f>
        <v>0.13958333333333339</v>
      </c>
      <c r="AK71" s="14">
        <f>MOD((AG71-B71),1)</f>
        <v>0.38194444444444442</v>
      </c>
      <c r="AL71" s="22"/>
    </row>
    <row r="72" spans="1:40" ht="26.25" customHeight="1" x14ac:dyDescent="0.25">
      <c r="A72" s="6">
        <v>61</v>
      </c>
      <c r="B72" s="7">
        <v>0.89236111111111116</v>
      </c>
      <c r="C72" s="14" t="s">
        <v>30</v>
      </c>
      <c r="D72" s="17">
        <v>201</v>
      </c>
      <c r="E72" s="21">
        <v>0.90486111111111101</v>
      </c>
      <c r="F72" s="14">
        <v>0.97222222222222221</v>
      </c>
      <c r="G72" s="14">
        <f t="shared" si="26"/>
        <v>6.7361111111111205E-2</v>
      </c>
      <c r="H72" s="42" t="s">
        <v>34</v>
      </c>
      <c r="I72" s="17">
        <v>41</v>
      </c>
      <c r="J72" s="30"/>
      <c r="K72" s="30"/>
      <c r="L72" s="30"/>
      <c r="M72" s="30"/>
      <c r="N72" s="30"/>
      <c r="O72" s="30"/>
      <c r="P72" s="20"/>
      <c r="Q72" s="20"/>
      <c r="R72" s="20"/>
      <c r="V72" s="23"/>
      <c r="W72" s="26"/>
      <c r="X72" s="23"/>
      <c r="Y72" s="26"/>
      <c r="Z72" s="26"/>
      <c r="AA72" s="37"/>
      <c r="AB72" s="26"/>
      <c r="AC72" s="26"/>
      <c r="AD72" s="26"/>
      <c r="AE72" s="23"/>
      <c r="AF72" s="26"/>
      <c r="AG72" s="22">
        <v>0.27083333333333331</v>
      </c>
      <c r="AH72" s="24" t="s">
        <v>19</v>
      </c>
      <c r="AJ72" s="7">
        <f>G72+O72+AE72</f>
        <v>6.7361111111111205E-2</v>
      </c>
      <c r="AK72" s="14">
        <f>MOD((AG72-B72),1)</f>
        <v>0.3784722222222221</v>
      </c>
      <c r="AL72" s="22"/>
    </row>
    <row r="73" spans="1:40" ht="26.25" customHeight="1" x14ac:dyDescent="0.25">
      <c r="A73" s="6">
        <v>62</v>
      </c>
      <c r="B73" s="7">
        <v>0.89236111111111116</v>
      </c>
      <c r="C73" s="21" t="s">
        <v>26</v>
      </c>
      <c r="D73" s="17">
        <v>209</v>
      </c>
      <c r="E73" s="21">
        <v>0.90486111111111101</v>
      </c>
      <c r="F73" s="14">
        <v>6.9444444444444441E-3</v>
      </c>
      <c r="G73" s="14">
        <f t="shared" si="26"/>
        <v>0.10208333333333341</v>
      </c>
      <c r="H73" s="36" t="s">
        <v>65</v>
      </c>
      <c r="I73" s="17">
        <v>66</v>
      </c>
      <c r="J73" s="30"/>
      <c r="K73" s="30"/>
      <c r="L73" s="30"/>
      <c r="M73" s="30"/>
      <c r="N73" s="30"/>
      <c r="O73" s="30"/>
      <c r="P73" s="20"/>
      <c r="Q73" s="20"/>
      <c r="R73" s="20"/>
      <c r="V73" s="23"/>
      <c r="W73" s="26"/>
      <c r="X73" s="23"/>
      <c r="Y73" s="26"/>
      <c r="Z73" s="26"/>
      <c r="AA73" s="37"/>
      <c r="AB73" s="26"/>
      <c r="AC73" s="26"/>
      <c r="AD73" s="26"/>
      <c r="AE73" s="23"/>
      <c r="AF73" s="26"/>
      <c r="AG73" s="22">
        <v>0.27083333333333331</v>
      </c>
      <c r="AH73" s="24" t="s">
        <v>19</v>
      </c>
      <c r="AJ73" s="7">
        <f>G73+O73+AE73</f>
        <v>0.10208333333333341</v>
      </c>
      <c r="AK73" s="14">
        <f>MOD((AG73-B73),1)</f>
        <v>0.3784722222222221</v>
      </c>
      <c r="AL73" s="22"/>
    </row>
    <row r="74" spans="1:40" ht="26.25" customHeight="1" x14ac:dyDescent="0.25">
      <c r="A74" s="6">
        <v>63</v>
      </c>
      <c r="B74" s="7">
        <f>E74-TIME(0,15,0)</f>
        <v>0.89583333333333337</v>
      </c>
      <c r="C74" s="21" t="s">
        <v>29</v>
      </c>
      <c r="D74" s="17">
        <v>210</v>
      </c>
      <c r="E74" s="14">
        <v>0.90625</v>
      </c>
      <c r="F74" s="14">
        <v>6.9444444444444441E-3</v>
      </c>
      <c r="G74" s="14">
        <f t="shared" si="26"/>
        <v>0.10069444444444442</v>
      </c>
      <c r="H74" s="42" t="s">
        <v>66</v>
      </c>
      <c r="I74" s="17">
        <v>64</v>
      </c>
      <c r="J74" s="30"/>
      <c r="K74" s="30"/>
      <c r="L74" s="30"/>
      <c r="M74" s="30"/>
      <c r="N74" s="30"/>
      <c r="O74" s="30"/>
      <c r="P74" s="20"/>
      <c r="Q74" s="20"/>
      <c r="R74" s="20"/>
      <c r="V74" s="23"/>
      <c r="W74" s="26"/>
      <c r="X74" s="23"/>
      <c r="Y74" s="26">
        <v>10</v>
      </c>
      <c r="Z74" s="26"/>
      <c r="AA74" s="37" t="s">
        <v>66</v>
      </c>
      <c r="AB74" s="26">
        <v>210</v>
      </c>
      <c r="AC74" s="23">
        <v>0.27083333333333331</v>
      </c>
      <c r="AD74" s="44">
        <v>0.31180555555555556</v>
      </c>
      <c r="AE74" s="23">
        <f>AD74-AC74</f>
        <v>4.0972222222222243E-2</v>
      </c>
      <c r="AF74" s="23" t="s">
        <v>29</v>
      </c>
      <c r="AG74" s="22">
        <v>0.31597222222222221</v>
      </c>
      <c r="AH74" s="24" t="s">
        <v>19</v>
      </c>
      <c r="AJ74" s="7">
        <f>G74+O74+AE74</f>
        <v>0.14166666666666666</v>
      </c>
      <c r="AK74" s="14">
        <f>MOD((AG74-B74),1)</f>
        <v>0.42013888888888884</v>
      </c>
      <c r="AL74" s="22"/>
    </row>
    <row r="75" spans="1:40" ht="26.25" customHeight="1" x14ac:dyDescent="0.25">
      <c r="A75" s="30"/>
      <c r="B75" s="7"/>
      <c r="C75" s="17"/>
      <c r="D75" s="30"/>
      <c r="E75" s="30"/>
      <c r="F75" s="30"/>
      <c r="G75" s="17"/>
      <c r="H75" s="30"/>
      <c r="I75" s="14"/>
      <c r="J75" s="17"/>
      <c r="K75" s="17"/>
      <c r="L75" s="17"/>
      <c r="M75" s="14"/>
      <c r="N75" s="14"/>
      <c r="O75" s="14"/>
      <c r="P75" s="20"/>
      <c r="Q75" s="20"/>
      <c r="R75" s="20"/>
      <c r="V75" s="23"/>
      <c r="W75" s="26"/>
      <c r="X75" s="26"/>
      <c r="Y75" s="23"/>
      <c r="Z75" s="26"/>
      <c r="AA75" s="26"/>
      <c r="AB75" s="26"/>
      <c r="AC75" s="23"/>
      <c r="AD75" s="23"/>
      <c r="AE75" s="43"/>
      <c r="AF75" s="26"/>
      <c r="AG75" s="22"/>
      <c r="AH75" s="24"/>
      <c r="AJ75" s="7"/>
      <c r="AK75" s="14"/>
      <c r="AL75" s="22"/>
    </row>
    <row r="76" spans="1:40" s="1" customFormat="1" ht="26.25" customHeight="1" x14ac:dyDescent="0.25">
      <c r="A76" s="6">
        <v>64</v>
      </c>
      <c r="B76" s="7">
        <v>0.89583333333333337</v>
      </c>
      <c r="C76" s="17" t="s">
        <v>19</v>
      </c>
      <c r="D76" s="17" t="s">
        <v>67</v>
      </c>
      <c r="E76" s="13"/>
      <c r="F76" s="13"/>
      <c r="G76" s="14"/>
      <c r="H76" s="17"/>
      <c r="I76" s="17"/>
      <c r="J76" s="17"/>
      <c r="K76" s="17"/>
      <c r="L76" s="17"/>
      <c r="M76" s="17"/>
      <c r="N76" s="17"/>
      <c r="O76" s="17"/>
      <c r="P76" s="12"/>
      <c r="Q76" s="12"/>
      <c r="R76" s="12"/>
      <c r="V76" s="22"/>
      <c r="W76" s="23"/>
      <c r="X76" s="26"/>
      <c r="Y76" s="26"/>
      <c r="Z76" s="26"/>
      <c r="AA76" s="23"/>
      <c r="AB76" s="26" t="s">
        <v>67</v>
      </c>
      <c r="AC76" s="23"/>
      <c r="AD76" s="23"/>
      <c r="AE76" s="22"/>
      <c r="AF76" s="23"/>
      <c r="AG76" s="43">
        <v>0.27083333333333331</v>
      </c>
      <c r="AH76" s="24" t="s">
        <v>19</v>
      </c>
      <c r="AJ76" s="7"/>
      <c r="AK76" s="14">
        <f>MOD((AG76-B76),1)</f>
        <v>0.375</v>
      </c>
      <c r="AL76" s="22"/>
    </row>
    <row r="77" spans="1:40" s="1" customFormat="1" ht="26.25" customHeight="1" x14ac:dyDescent="0.25">
      <c r="A77" s="6">
        <v>65</v>
      </c>
      <c r="B77" s="7">
        <v>0.89583333333333337</v>
      </c>
      <c r="C77" s="17" t="s">
        <v>68</v>
      </c>
      <c r="D77" s="17" t="s">
        <v>69</v>
      </c>
      <c r="E77" s="14"/>
      <c r="F77" s="14"/>
      <c r="G77" s="14"/>
      <c r="H77" s="17"/>
      <c r="I77" s="17"/>
      <c r="J77" s="17"/>
      <c r="K77" s="17"/>
      <c r="L77" s="17"/>
      <c r="M77" s="17"/>
      <c r="N77" s="17"/>
      <c r="O77" s="17"/>
      <c r="P77" s="12"/>
      <c r="Q77" s="12"/>
      <c r="R77" s="12"/>
      <c r="V77" s="22"/>
      <c r="W77" s="23"/>
      <c r="X77" s="26"/>
      <c r="Y77" s="26"/>
      <c r="Z77" s="26"/>
      <c r="AA77" s="23"/>
      <c r="AB77" s="26" t="s">
        <v>69</v>
      </c>
      <c r="AC77" s="23"/>
      <c r="AD77" s="23"/>
      <c r="AE77" s="22"/>
      <c r="AF77" s="23"/>
      <c r="AG77" s="43">
        <v>0.27083333333333331</v>
      </c>
      <c r="AH77" s="24" t="s">
        <v>19</v>
      </c>
      <c r="AJ77" s="7"/>
      <c r="AK77" s="14">
        <f>MOD((AG77-B77),1)</f>
        <v>0.375</v>
      </c>
      <c r="AL77" s="22"/>
    </row>
    <row r="78" spans="1:40" ht="24.75" customHeight="1" x14ac:dyDescent="0.25">
      <c r="A78" s="51"/>
      <c r="B78" s="52"/>
      <c r="I78" s="2"/>
      <c r="J78" s="1"/>
      <c r="K78" s="1"/>
      <c r="L78" s="1"/>
      <c r="M78" s="2"/>
      <c r="N78" s="2"/>
      <c r="O78" s="2"/>
      <c r="P78" s="1"/>
      <c r="Q78" s="2"/>
      <c r="R78" s="1"/>
      <c r="S78" s="1"/>
      <c r="T78" s="1"/>
      <c r="U78" s="2"/>
      <c r="V78" s="2"/>
      <c r="W78" s="2"/>
      <c r="X78" s="1"/>
      <c r="Y78" s="1"/>
      <c r="Z78" s="1"/>
      <c r="AA78" s="1"/>
      <c r="AB78" s="1"/>
      <c r="AC78" s="1"/>
      <c r="AD78" s="1"/>
      <c r="AE78" s="1"/>
      <c r="AF78" s="1"/>
      <c r="AG78" s="18"/>
      <c r="AH78" s="54" t="s">
        <v>70</v>
      </c>
      <c r="AI78" s="55"/>
      <c r="AJ78" s="56">
        <f>AVERAGE(AJ5:AJ77)</f>
        <v>0.20638064971751438</v>
      </c>
      <c r="AK78" s="56">
        <f>AVERAGE(AK3:AK77)</f>
        <v>0.33188461538461522</v>
      </c>
      <c r="AL78" s="56" t="e">
        <f>AVERAGE(AL5:AL77)</f>
        <v>#REF!</v>
      </c>
      <c r="AM78" s="56" t="e">
        <f>AVERAGE(AM5:AM77)</f>
        <v>#DIV/0!</v>
      </c>
      <c r="AN78" s="15"/>
    </row>
    <row r="80" spans="1:40" x14ac:dyDescent="0.25"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</row>
    <row r="81" spans="19:35" x14ac:dyDescent="0.25"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</row>
    <row r="82" spans="19:35" x14ac:dyDescent="0.25"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</row>
    <row r="83" spans="19:35" x14ac:dyDescent="0.25"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</row>
    <row r="84" spans="19:35" x14ac:dyDescent="0.25"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</row>
    <row r="85" spans="19:35" x14ac:dyDescent="0.25"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</row>
    <row r="86" spans="19:35" x14ac:dyDescent="0.25"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</row>
    <row r="87" spans="19:35" x14ac:dyDescent="0.25"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</row>
    <row r="88" spans="19:35" x14ac:dyDescent="0.25"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</row>
    <row r="89" spans="19:35" x14ac:dyDescent="0.25"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</row>
    <row r="90" spans="19:35" x14ac:dyDescent="0.25"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</row>
    <row r="91" spans="19:35" x14ac:dyDescent="0.25"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</row>
    <row r="92" spans="19:35" x14ac:dyDescent="0.25"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</row>
    <row r="93" spans="19:35" x14ac:dyDescent="0.25"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</row>
    <row r="94" spans="19:35" x14ac:dyDescent="0.25"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</row>
    <row r="95" spans="19:35" x14ac:dyDescent="0.25"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</row>
    <row r="96" spans="19:35" x14ac:dyDescent="0.25"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</row>
    <row r="97" spans="19:35" x14ac:dyDescent="0.25"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</row>
    <row r="98" spans="19:35" x14ac:dyDescent="0.25"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</row>
  </sheetData>
  <mergeCells count="2">
    <mergeCell ref="A1:AJ1"/>
    <mergeCell ref="S80:AI98"/>
  </mergeCells>
  <conditionalFormatting sqref="A3:AJ12 B13:AJ13 A14:AJ18 B19:AJ19 A20:AJ30 B31:AJ32 A33:AJ48 B49:AJ49 A50:AJ58 A59:R77 AJ59:AJ77 S80:AI98">
    <cfRule type="expression" dxfId="0" priority="1">
      <formula>MOD(ROW(),2)=1</formula>
    </cfRule>
  </conditionalFormatting>
  <printOptions horizontalCentered="1" verticalCentered="1"/>
  <pageMargins left="0" right="0" top="0" bottom="0" header="0" footer="0"/>
  <pageSetup paperSize="9" scale="55" orientation="landscape" r:id="rId1"/>
  <rowBreaks count="1" manualBreakCount="1">
    <brk id="40" max="35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Sun Link CRRC</vt:lpstr>
      <vt:lpstr>'Sun Link CRRC'!Print_Area</vt:lpstr>
      <vt:lpstr>'Sun Link CRRC'!Print_Titles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pyidcrewmu</dc:creator>
  <cp:lastModifiedBy>Nagesha N</cp:lastModifiedBy>
  <dcterms:created xsi:type="dcterms:W3CDTF">2026-10-06T10:39:48Z</dcterms:created>
  <dcterms:modified xsi:type="dcterms:W3CDTF">2026-10-06T17:58:57Z</dcterms:modified>
</cp:coreProperties>
</file>