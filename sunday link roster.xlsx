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un Link roster" sheetId="2" r:id="rId1"/>
  </sheets>
  <externalReferences>
    <externalReference r:id="rId2"/>
    <externalReference r:id="rId3"/>
    <externalReference r:id="rId4"/>
  </externalReferences>
  <definedNames>
    <definedName name="_xlnm._FilterDatabase" localSheetId="0" hidden="1">'Sun Link roster'!$A$2:$AF$8</definedName>
    <definedName name="hh">'[1]exp1 (2)'!$N$3:$N$180</definedName>
    <definedName name="JJJ">'[2]3.8'!$H$2:$H$130</definedName>
    <definedName name="KK">'[2]3.8'!$H$2:$H$130</definedName>
    <definedName name="_xlnm.Print_Area" localSheetId="0">'Sun Link roster'!$A$1:$AA$78</definedName>
    <definedName name="_xlnm.Print_Titles" localSheetId="0">'Sun Link roster'!$1:$2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<sst xmlns="http://schemas.openxmlformats.org/spreadsheetml/2006/main" count="257" uniqueCount="60">
  <si>
    <t>Sunday Link Roster WEF 08/Dec/2024 for Time Table Dated 10/Nov/2024  (BIET - APTS)</t>
  </si>
  <si>
    <t>Duty No</t>
  </si>
  <si>
    <t>S ON Time</t>
  </si>
  <si>
    <t>Sign ON Location</t>
  </si>
  <si>
    <t>Train No</t>
  </si>
  <si>
    <t>Time Frm</t>
  </si>
  <si>
    <t>Time
To</t>
  </si>
  <si>
    <t>Trip  time</t>
  </si>
  <si>
    <t>Handover Location</t>
  </si>
  <si>
    <t xml:space="preserve">Break </t>
  </si>
  <si>
    <t>Takeover
Location</t>
  </si>
  <si>
    <t>S OFF Time</t>
  </si>
  <si>
    <t>Sign Off Location</t>
  </si>
  <si>
    <t>Kms</t>
  </si>
  <si>
    <t>Duty Hrs</t>
  </si>
  <si>
    <t>Driving Hrs</t>
  </si>
  <si>
    <t>Break</t>
  </si>
  <si>
    <t>Counselling</t>
  </si>
  <si>
    <t>Duty Type</t>
  </si>
  <si>
    <t>PYID</t>
  </si>
  <si>
    <t>Pro 1</t>
  </si>
  <si>
    <t>KGWA</t>
  </si>
  <si>
    <t>Rd3 Stby</t>
  </si>
  <si>
    <t>RD-3</t>
  </si>
  <si>
    <t>PYID Dn</t>
  </si>
  <si>
    <t>KGWA Dn</t>
  </si>
  <si>
    <t>Depot</t>
  </si>
  <si>
    <t>PYID Up</t>
  </si>
  <si>
    <t>KGWA Up</t>
  </si>
  <si>
    <t>PUTH Up</t>
  </si>
  <si>
    <t>BT Dn BE</t>
  </si>
  <si>
    <t>N PKT</t>
  </si>
  <si>
    <t>B DHO</t>
  </si>
  <si>
    <t>PUTH</t>
  </si>
  <si>
    <t>Pro 2</t>
  </si>
  <si>
    <t>Resv</t>
  </si>
  <si>
    <t>PUTH Dn</t>
  </si>
  <si>
    <t>NGSA PKT</t>
  </si>
  <si>
    <t>NGSA</t>
  </si>
  <si>
    <t>Night Kms</t>
  </si>
  <si>
    <t>Morn Kms</t>
  </si>
  <si>
    <r>
      <rPr>
        <b/>
        <sz val="22"/>
        <color theme="1"/>
        <rFont val="Tahoma"/>
        <charset val="134"/>
      </rPr>
      <t xml:space="preserve">Follow
Monday Regular 04:00hrs Service
&amp;
Monday GH 04:00 Service
</t>
    </r>
    <r>
      <rPr>
        <b/>
        <sz val="16"/>
        <color theme="1"/>
        <rFont val="Tahoma"/>
        <charset val="134"/>
      </rPr>
      <t>(Whenever GH is on Monday)</t>
    </r>
    <r>
      <rPr>
        <b/>
        <sz val="22"/>
        <color theme="1"/>
        <rFont val="Tahoma"/>
        <charset val="134"/>
      </rPr>
      <t xml:space="preserve">
Changeover Link</t>
    </r>
  </si>
  <si>
    <t>APTS Dn</t>
  </si>
  <si>
    <t>APTS Up</t>
  </si>
  <si>
    <t>Pilot</t>
  </si>
  <si>
    <t>NLC Up</t>
  </si>
  <si>
    <t>TGTP Dn</t>
  </si>
  <si>
    <t>PUTH Dn-APTS Dn Pilot</t>
  </si>
  <si>
    <t>Rd3 Stbl</t>
  </si>
  <si>
    <t>BEIT Dn</t>
  </si>
  <si>
    <t>BIET Dn-NGSA Dn Pilot</t>
  </si>
  <si>
    <t>PYID DN</t>
  </si>
  <si>
    <t>NGSA Dn</t>
  </si>
  <si>
    <t>BEIT Up</t>
  </si>
  <si>
    <t>SPGD Dn</t>
  </si>
  <si>
    <t>NGSA Up</t>
  </si>
  <si>
    <t>Pro 3</t>
  </si>
  <si>
    <t xml:space="preserve">PYID </t>
  </si>
  <si>
    <t>CC3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</si>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</sst>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h:mm;@"/>
  </numFmts>
  <fonts count="30">
    <font>
      <sz val="11"/>
      <color theme="1"/>
      <name val="Calibri"/>
      <charset val="134"/>
      <scheme val="minor"/>
    </font>
    <font>
      <sz val="11"/>
      <color theme="1"/>
      <name val="Tahoma"/>
      <charset val="134"/>
    </font>
    <font>
      <sz val="12"/>
      <color theme="1"/>
      <name val="Tahoma"/>
      <charset val="134"/>
    </font>
    <font>
      <b/>
      <sz val="22"/>
      <color theme="1"/>
      <name val="Cambria"/>
      <charset val="134"/>
    </font>
    <font>
      <b/>
      <sz val="11"/>
      <color theme="1"/>
      <name val="Tahoma"/>
      <charset val="134"/>
    </font>
    <font>
      <b/>
      <sz val="12"/>
      <color theme="1"/>
      <name val="Tahoma"/>
      <charset val="134"/>
    </font>
    <font>
      <sz val="12"/>
      <color theme="1" tint="0.0499893185216834"/>
      <name val="Tahoma"/>
      <charset val="134"/>
    </font>
    <font>
      <b/>
      <sz val="11"/>
      <color theme="1"/>
      <name val="Arial Narrow"/>
      <charset val="134"/>
    </font>
    <font>
      <b/>
      <sz val="12"/>
      <color theme="1" tint="0.0499893185216834"/>
      <name val="Tahom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22"/>
      <color theme="1"/>
      <name val="Tahoma"/>
      <charset val="134"/>
    </font>
    <font>
      <b/>
      <sz val="16"/>
      <color theme="1"/>
      <name val="Tahoma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6" borderId="2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4" applyNumberFormat="0" applyFill="0" applyAlignment="0" applyProtection="0">
      <alignment vertical="center"/>
    </xf>
    <xf numFmtId="0" fontId="15" fillId="0" borderId="24" applyNumberFormat="0" applyFill="0" applyAlignment="0" applyProtection="0">
      <alignment vertical="center"/>
    </xf>
    <xf numFmtId="0" fontId="16" fillId="0" borderId="2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26" applyNumberFormat="0" applyAlignment="0" applyProtection="0">
      <alignment vertical="center"/>
    </xf>
    <xf numFmtId="0" fontId="18" fillId="8" borderId="27" applyNumberFormat="0" applyAlignment="0" applyProtection="0">
      <alignment vertical="center"/>
    </xf>
    <xf numFmtId="0" fontId="19" fillId="8" borderId="26" applyNumberFormat="0" applyAlignment="0" applyProtection="0">
      <alignment vertical="center"/>
    </xf>
    <xf numFmtId="0" fontId="20" fillId="9" borderId="28" applyNumberFormat="0" applyAlignment="0" applyProtection="0">
      <alignment vertical="center"/>
    </xf>
    <xf numFmtId="0" fontId="21" fillId="0" borderId="29" applyNumberFormat="0" applyFill="0" applyAlignment="0" applyProtection="0">
      <alignment vertical="center"/>
    </xf>
    <xf numFmtId="0" fontId="22" fillId="0" borderId="30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</cellStyleXfs>
  <cellXfs count="162">
    <xf numFmtId="0" fontId="0" fillId="0" borderId="0" xfId="0"/>
    <xf numFmtId="0" fontId="1" fillId="2" borderId="0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180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0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80" fontId="2" fillId="2" borderId="1" xfId="0" applyNumberFormat="1" applyFont="1" applyFill="1" applyBorder="1" applyAlignment="1">
      <alignment horizontal="center" vertical="center" wrapText="1"/>
    </xf>
    <xf numFmtId="0" fontId="5" fillId="2" borderId="1" xfId="0" applyNumberFormat="1" applyFont="1" applyFill="1" applyBorder="1" applyAlignment="1">
      <alignment horizontal="left" vertical="center"/>
    </xf>
    <xf numFmtId="20" fontId="5" fillId="2" borderId="1" xfId="0" applyNumberFormat="1" applyFont="1" applyFill="1" applyBorder="1" applyAlignment="1">
      <alignment horizontal="center" vertical="center" wrapText="1"/>
    </xf>
    <xf numFmtId="0" fontId="5" fillId="2" borderId="1" xfId="0" applyNumberFormat="1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20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80" fontId="2" fillId="2" borderId="1" xfId="0" applyNumberFormat="1" applyFont="1" applyFill="1" applyBorder="1" applyAlignment="1">
      <alignment horizontal="center" vertical="center"/>
    </xf>
    <xf numFmtId="20" fontId="1" fillId="2" borderId="1" xfId="0" applyNumberFormat="1" applyFont="1" applyFill="1" applyBorder="1" applyAlignment="1">
      <alignment horizontal="center" vertical="center"/>
    </xf>
    <xf numFmtId="180" fontId="1" fillId="2" borderId="0" xfId="0" applyNumberFormat="1" applyFont="1" applyFill="1" applyBorder="1" applyAlignment="1">
      <alignment horizontal="center" vertical="center"/>
    </xf>
    <xf numFmtId="180" fontId="1" fillId="2" borderId="0" xfId="0" applyNumberFormat="1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180" fontId="2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left" vertical="center"/>
    </xf>
    <xf numFmtId="20" fontId="2" fillId="0" borderId="1" xfId="0" applyNumberFormat="1" applyFont="1" applyFill="1" applyBorder="1" applyAlignment="1">
      <alignment horizontal="center" vertical="center"/>
    </xf>
    <xf numFmtId="20" fontId="5" fillId="0" borderId="1" xfId="0" applyNumberFormat="1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80" fontId="5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180" fontId="5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vertical="center"/>
    </xf>
    <xf numFmtId="0" fontId="5" fillId="2" borderId="1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center" vertical="center" wrapText="1"/>
    </xf>
    <xf numFmtId="180" fontId="2" fillId="2" borderId="2" xfId="0" applyNumberFormat="1" applyFont="1" applyFill="1" applyBorder="1" applyAlignment="1">
      <alignment horizontal="center" vertical="center" wrapText="1"/>
    </xf>
    <xf numFmtId="180" fontId="2" fillId="2" borderId="2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80" fontId="5" fillId="2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vertical="center"/>
    </xf>
    <xf numFmtId="0" fontId="5" fillId="0" borderId="3" xfId="0" applyFont="1" applyFill="1" applyBorder="1" applyAlignment="1">
      <alignment horizontal="center" vertical="center" wrapText="1"/>
    </xf>
    <xf numFmtId="180" fontId="2" fillId="0" borderId="4" xfId="0" applyNumberFormat="1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center" vertical="center"/>
    </xf>
    <xf numFmtId="180" fontId="2" fillId="0" borderId="5" xfId="0" applyNumberFormat="1" applyFont="1" applyFill="1" applyBorder="1" applyAlignment="1">
      <alignment horizontal="center" vertical="center"/>
    </xf>
    <xf numFmtId="180" fontId="2" fillId="0" borderId="5" xfId="0" applyNumberFormat="1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vertical="center"/>
    </xf>
    <xf numFmtId="0" fontId="1" fillId="0" borderId="5" xfId="0" applyFont="1" applyFill="1" applyBorder="1" applyAlignment="1">
      <alignment vertical="center"/>
    </xf>
    <xf numFmtId="20" fontId="5" fillId="0" borderId="5" xfId="0" applyNumberFormat="1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horizontal="center" vertical="center" wrapText="1"/>
    </xf>
    <xf numFmtId="180" fontId="2" fillId="0" borderId="9" xfId="0" applyNumberFormat="1" applyFont="1" applyFill="1" applyBorder="1" applyAlignment="1">
      <alignment horizontal="center" vertical="center" wrapText="1"/>
    </xf>
    <xf numFmtId="0" fontId="2" fillId="0" borderId="9" xfId="0" applyFont="1" applyFill="1" applyBorder="1" applyAlignment="1">
      <alignment horizontal="center" vertical="center" wrapText="1"/>
    </xf>
    <xf numFmtId="0" fontId="2" fillId="0" borderId="10" xfId="0" applyFont="1" applyFill="1" applyBorder="1" applyAlignment="1">
      <alignment horizontal="center" vertical="center"/>
    </xf>
    <xf numFmtId="180" fontId="2" fillId="0" borderId="10" xfId="0" applyNumberFormat="1" applyFont="1" applyFill="1" applyBorder="1" applyAlignment="1">
      <alignment horizontal="center" vertical="center"/>
    </xf>
    <xf numFmtId="180" fontId="2" fillId="0" borderId="10" xfId="0" applyNumberFormat="1" applyFont="1" applyFill="1" applyBorder="1" applyAlignment="1">
      <alignment horizontal="center" vertical="center" wrapText="1"/>
    </xf>
    <xf numFmtId="0" fontId="2" fillId="0" borderId="10" xfId="0" applyFont="1" applyFill="1" applyBorder="1" applyAlignment="1">
      <alignment vertical="center"/>
    </xf>
    <xf numFmtId="180" fontId="5" fillId="0" borderId="10" xfId="0" applyNumberFormat="1" applyFont="1" applyFill="1" applyBorder="1" applyAlignment="1">
      <alignment horizontal="center" vertical="center"/>
    </xf>
    <xf numFmtId="0" fontId="2" fillId="0" borderId="11" xfId="0" applyFont="1" applyFill="1" applyBorder="1" applyAlignment="1">
      <alignment horizontal="center" vertical="center" wrapText="1"/>
    </xf>
    <xf numFmtId="0" fontId="2" fillId="0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 wrapText="1"/>
    </xf>
    <xf numFmtId="180" fontId="2" fillId="2" borderId="13" xfId="0" applyNumberFormat="1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/>
    </xf>
    <xf numFmtId="180" fontId="2" fillId="2" borderId="13" xfId="0" applyNumberFormat="1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180" fontId="5" fillId="2" borderId="13" xfId="0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 wrapText="1"/>
    </xf>
    <xf numFmtId="180" fontId="2" fillId="0" borderId="2" xfId="0" applyNumberFormat="1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/>
    </xf>
    <xf numFmtId="180" fontId="2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/>
    </xf>
    <xf numFmtId="1" fontId="2" fillId="0" borderId="2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vertical="center"/>
    </xf>
    <xf numFmtId="180" fontId="2" fillId="0" borderId="0" xfId="0" applyNumberFormat="1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180" fontId="2" fillId="2" borderId="4" xfId="0" applyNumberFormat="1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/>
    </xf>
    <xf numFmtId="180" fontId="2" fillId="2" borderId="5" xfId="0" applyNumberFormat="1" applyFont="1" applyFill="1" applyBorder="1" applyAlignment="1">
      <alignment horizontal="center" vertical="center"/>
    </xf>
    <xf numFmtId="180" fontId="5" fillId="2" borderId="5" xfId="0" applyNumberFormat="1" applyFont="1" applyFill="1" applyBorder="1" applyAlignment="1">
      <alignment horizontal="center" vertical="center"/>
    </xf>
    <xf numFmtId="180" fontId="2" fillId="2" borderId="5" xfId="0" applyNumberFormat="1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180" fontId="2" fillId="2" borderId="9" xfId="0" applyNumberFormat="1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/>
    </xf>
    <xf numFmtId="180" fontId="2" fillId="2" borderId="10" xfId="0" applyNumberFormat="1" applyFont="1" applyFill="1" applyBorder="1" applyAlignment="1">
      <alignment horizontal="center" vertical="center"/>
    </xf>
    <xf numFmtId="180" fontId="5" fillId="2" borderId="10" xfId="0" applyNumberFormat="1" applyFont="1" applyFill="1" applyBorder="1" applyAlignment="1">
      <alignment horizontal="center" vertical="center"/>
    </xf>
    <xf numFmtId="180" fontId="2" fillId="2" borderId="10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 wrapText="1"/>
    </xf>
    <xf numFmtId="180" fontId="2" fillId="0" borderId="13" xfId="0" applyNumberFormat="1" applyFont="1" applyFill="1" applyBorder="1" applyAlignment="1">
      <alignment horizontal="center" vertical="center" wrapText="1"/>
    </xf>
    <xf numFmtId="0" fontId="2" fillId="0" borderId="13" xfId="0" applyFont="1" applyFill="1" applyBorder="1" applyAlignment="1">
      <alignment horizontal="center" vertical="center" wrapText="1"/>
    </xf>
    <xf numFmtId="0" fontId="2" fillId="0" borderId="13" xfId="0" applyFont="1" applyFill="1" applyBorder="1" applyAlignment="1">
      <alignment horizontal="center" vertical="center"/>
    </xf>
    <xf numFmtId="180" fontId="2" fillId="0" borderId="13" xfId="0" applyNumberFormat="1" applyFont="1" applyFill="1" applyBorder="1" applyAlignment="1">
      <alignment horizontal="center" vertical="center"/>
    </xf>
    <xf numFmtId="0" fontId="1" fillId="0" borderId="13" xfId="0" applyFont="1" applyFill="1" applyBorder="1" applyAlignment="1">
      <alignment vertical="center"/>
    </xf>
    <xf numFmtId="180" fontId="5" fillId="0" borderId="13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/>
    </xf>
    <xf numFmtId="20" fontId="2" fillId="0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/>
    </xf>
    <xf numFmtId="20" fontId="2" fillId="2" borderId="1" xfId="0" applyNumberFormat="1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left" vertical="center"/>
    </xf>
    <xf numFmtId="180" fontId="1" fillId="0" borderId="0" xfId="0" applyNumberFormat="1" applyFont="1" applyFill="1" applyBorder="1" applyAlignment="1">
      <alignment horizontal="center" vertical="center"/>
    </xf>
    <xf numFmtId="20" fontId="5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>
      <alignment horizontal="left" vertical="center"/>
    </xf>
    <xf numFmtId="0" fontId="4" fillId="0" borderId="15" xfId="0" applyFont="1" applyFill="1" applyBorder="1" applyAlignment="1">
      <alignment horizontal="center" vertical="center" wrapText="1"/>
    </xf>
    <xf numFmtId="0" fontId="1" fillId="0" borderId="16" xfId="0" applyFont="1" applyFill="1" applyBorder="1" applyAlignment="1">
      <alignment horizontal="center" vertical="center"/>
    </xf>
    <xf numFmtId="0" fontId="1" fillId="0" borderId="17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right" vertical="center"/>
    </xf>
    <xf numFmtId="1" fontId="2" fillId="2" borderId="1" xfId="0" applyNumberFormat="1" applyFont="1" applyFill="1" applyBorder="1" applyAlignment="1">
      <alignment horizontal="left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right" vertical="center"/>
    </xf>
    <xf numFmtId="1" fontId="2" fillId="0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right" vertical="center"/>
    </xf>
    <xf numFmtId="180" fontId="2" fillId="0" borderId="1" xfId="0" applyNumberFormat="1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180" fontId="2" fillId="2" borderId="1" xfId="0" applyNumberFormat="1" applyFont="1" applyFill="1" applyBorder="1" applyAlignment="1">
      <alignment horizontal="right" vertical="center"/>
    </xf>
    <xf numFmtId="180" fontId="8" fillId="0" borderId="1" xfId="0" applyNumberFormat="1" applyFont="1" applyFill="1" applyBorder="1" applyAlignment="1">
      <alignment horizontal="center" vertical="center"/>
    </xf>
    <xf numFmtId="180" fontId="6" fillId="0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/>
    </xf>
    <xf numFmtId="0" fontId="6" fillId="0" borderId="1" xfId="0" applyFont="1" applyFill="1" applyBorder="1" applyAlignment="1">
      <alignment horizontal="right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0" borderId="21" xfId="0" applyFont="1" applyFill="1" applyBorder="1" applyAlignment="1">
      <alignment horizontal="center" vertical="center"/>
    </xf>
    <xf numFmtId="0" fontId="1" fillId="0" borderId="22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80" fontId="2" fillId="0" borderId="0" xfId="0" applyNumberFormat="1" applyFont="1" applyFill="1" applyBorder="1" applyAlignment="1">
      <alignment horizontal="center" vertical="center" wrapText="1"/>
    </xf>
    <xf numFmtId="180" fontId="1" fillId="4" borderId="0" xfId="0" applyNumberFormat="1" applyFont="1" applyFill="1" applyBorder="1" applyAlignment="1">
      <alignment horizontal="center" vertical="center"/>
    </xf>
    <xf numFmtId="180" fontId="1" fillId="0" borderId="0" xfId="0" applyNumberFormat="1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vertical="center"/>
    </xf>
    <xf numFmtId="0" fontId="4" fillId="4" borderId="22" xfId="0" applyFont="1" applyFill="1" applyBorder="1" applyAlignment="1">
      <alignment horizontal="center" vertical="center"/>
    </xf>
    <xf numFmtId="20" fontId="4" fillId="4" borderId="13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23</xdr:col>
      <xdr:colOff>214313</xdr:colOff>
      <xdr:row>13</xdr:row>
      <xdr:rowOff>130969</xdr:rowOff>
    </xdr:from>
    <xdr:to>
      <xdr:col>23</xdr:col>
      <xdr:colOff>712195</xdr:colOff>
      <xdr:row>14</xdr:row>
      <xdr:rowOff>201004</xdr:rowOff>
    </xdr:to>
    <xdr:grpSp>
      <xdr:nvGrpSpPr>
        <xdr:cNvPr id="2" name="Group 1"/>
        <xdr:cNvGrpSpPr/>
      </xdr:nvGrpSpPr>
      <xdr:grpSpPr>
        <a:xfrm>
          <a:off x="12701270" y="4016375"/>
          <a:ext cx="497840" cy="348615"/>
          <a:chOff x="12550588" y="5065059"/>
          <a:chExt cx="497882" cy="268941"/>
        </a:xfrm>
      </xdr:grpSpPr>
      <xdr:cxnSp>
        <xdr:nvCxnSpPr>
          <xdr:cNvPr id="3" name="Straight Connector 2"/>
          <xdr:cNvCxnSpPr/>
        </xdr:nvCxnSpPr>
        <xdr:spPr>
          <a:xfrm>
            <a:off x="12575360" y="5065059"/>
            <a:ext cx="473110" cy="0"/>
          </a:xfrm>
          <a:prstGeom prst="line">
            <a:avLst/>
          </a:prstGeom>
          <a:ln w="28575"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4" name="Straight Arrow Connector 3"/>
          <xdr:cNvCxnSpPr/>
        </xdr:nvCxnSpPr>
        <xdr:spPr>
          <a:xfrm flipH="1">
            <a:off x="12550588" y="5065835"/>
            <a:ext cx="485756" cy="268165"/>
          </a:xfrm>
          <a:prstGeom prst="straightConnector1">
            <a:avLst/>
          </a:prstGeom>
          <a:ln w="28575">
            <a:solidFill>
              <a:schemeClr val="tx1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23</xdr:col>
      <xdr:colOff>176213</xdr:colOff>
      <xdr:row>17</xdr:row>
      <xdr:rowOff>140494</xdr:rowOff>
    </xdr:from>
    <xdr:to>
      <xdr:col>23</xdr:col>
      <xdr:colOff>674095</xdr:colOff>
      <xdr:row>18</xdr:row>
      <xdr:rowOff>210529</xdr:rowOff>
    </xdr:to>
    <xdr:grpSp>
      <xdr:nvGrpSpPr>
        <xdr:cNvPr id="5" name="Group 4"/>
        <xdr:cNvGrpSpPr/>
      </xdr:nvGrpSpPr>
      <xdr:grpSpPr>
        <a:xfrm>
          <a:off x="12663170" y="5140960"/>
          <a:ext cx="497840" cy="348615"/>
          <a:chOff x="12550588" y="5065059"/>
          <a:chExt cx="497882" cy="268941"/>
        </a:xfrm>
      </xdr:grpSpPr>
      <xdr:cxnSp>
        <xdr:nvCxnSpPr>
          <xdr:cNvPr id="6" name="Straight Connector 5"/>
          <xdr:cNvCxnSpPr/>
        </xdr:nvCxnSpPr>
        <xdr:spPr>
          <a:xfrm>
            <a:off x="12575360" y="5065059"/>
            <a:ext cx="473110" cy="0"/>
          </a:xfrm>
          <a:prstGeom prst="line">
            <a:avLst/>
          </a:prstGeom>
          <a:ln w="28575"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7" name="Straight Arrow Connector 6"/>
          <xdr:cNvCxnSpPr/>
        </xdr:nvCxnSpPr>
        <xdr:spPr>
          <a:xfrm flipH="1">
            <a:off x="12550588" y="5065835"/>
            <a:ext cx="485756" cy="268165"/>
          </a:xfrm>
          <a:prstGeom prst="straightConnector1">
            <a:avLst/>
          </a:prstGeom>
          <a:ln w="28575">
            <a:solidFill>
              <a:schemeClr val="tx1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33619</xdr:colOff>
      <xdr:row>13</xdr:row>
      <xdr:rowOff>23813</xdr:rowOff>
    </xdr:from>
    <xdr:to>
      <xdr:col>25</xdr:col>
      <xdr:colOff>89647</xdr:colOff>
      <xdr:row>14</xdr:row>
      <xdr:rowOff>280147</xdr:rowOff>
    </xdr:to>
    <xdr:sp>
      <xdr:nvSpPr>
        <xdr:cNvPr id="8" name="Double Brace 7"/>
        <xdr:cNvSpPr/>
      </xdr:nvSpPr>
      <xdr:spPr>
        <a:xfrm>
          <a:off x="918845" y="3909060"/>
          <a:ext cx="12877165" cy="534035"/>
        </a:xfrm>
        <a:prstGeom prst="bracePair">
          <a:avLst>
            <a:gd name="adj" fmla="val 10641"/>
          </a:avLst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IN" sz="1100"/>
        </a:p>
      </xdr:txBody>
    </xdr:sp>
    <xdr:clientData/>
  </xdr:twoCellAnchor>
  <xdr:twoCellAnchor>
    <xdr:from>
      <xdr:col>1</xdr:col>
      <xdr:colOff>473867</xdr:colOff>
      <xdr:row>17</xdr:row>
      <xdr:rowOff>9525</xdr:rowOff>
    </xdr:from>
    <xdr:to>
      <xdr:col>25</xdr:col>
      <xdr:colOff>112059</xdr:colOff>
      <xdr:row>18</xdr:row>
      <xdr:rowOff>283368</xdr:rowOff>
    </xdr:to>
    <xdr:sp>
      <xdr:nvSpPr>
        <xdr:cNvPr id="9" name="Double Brace 8"/>
        <xdr:cNvSpPr/>
      </xdr:nvSpPr>
      <xdr:spPr>
        <a:xfrm>
          <a:off x="883285" y="5010150"/>
          <a:ext cx="12934950" cy="548005"/>
        </a:xfrm>
        <a:prstGeom prst="bracePair">
          <a:avLst>
            <a:gd name="adj" fmla="val 10641"/>
          </a:avLst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IN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7.10.112\other%20pc\Documents%20and%20Settings\nirajdwcc\Desktop\Documents%20and%20Settings\Lenovo\Desktop\Roster\ROSTER2008\Documents%20and%20Settings\NDPL\My%20Documents\Crew%20Control%20Office%20Dwarka\Roster\Roster%202007\roster%202007\R_exp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D%20roster\ros-2013\New%20Folder\WEEKDAYS%20FOR%20DISTRIBUTION\DOCUME~1\dmrc\LOCALS~1\Temp\Rar$DI43.384\Documents%20and%20Settings\Lenovo\Desktop\Documents%20and%20Settings\NDPL\My%20Documents\Crew%20Control%20Office%20Dwarka\Roster\Roster%202007\roster%202007\August'0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nages\OneDrive\Desktop\all%20day%20roster%20and%20Time%20table\only%20WTT\Sun%20WT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N&amp;UP_16.04 (22+1)"/>
      <sheetName val="exp2"/>
      <sheetName val="exp1 (2)"/>
      <sheetName val="exp1"/>
      <sheetName val="Sheet1"/>
      <sheetName val="Sheet2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1.8"/>
      <sheetName val="2.8"/>
      <sheetName val="3.8"/>
      <sheetName val="4.8"/>
      <sheetName val="5.8"/>
      <sheetName val="6.8"/>
      <sheetName val="7.8"/>
      <sheetName val="8.8"/>
      <sheetName val="9.8"/>
      <sheetName val="10.8"/>
      <sheetName val="11.8"/>
      <sheetName val="12.8"/>
      <sheetName val="13.8"/>
      <sheetName val="14.8"/>
      <sheetName val="15.8"/>
      <sheetName val="16.8"/>
      <sheetName val="17.8"/>
      <sheetName val="18.8"/>
      <sheetName val="19.8"/>
      <sheetName val="20.8"/>
      <sheetName val="21.8"/>
      <sheetName val="22.8"/>
      <sheetName val="23.8"/>
      <sheetName val="24.8"/>
      <sheetName val="25.8"/>
      <sheetName val="26.8"/>
      <sheetName val="27.8"/>
      <sheetName val="28.8"/>
      <sheetName val="29.8"/>
      <sheetName val="30.8"/>
      <sheetName val="31.8"/>
      <sheetName val="Current TOs"/>
      <sheetName val="name slip (2)"/>
      <sheetName val="uniform"/>
      <sheetName val="uniform (2)"/>
      <sheetName val="TO PerfSumm (2)"/>
      <sheetName val="AssuGen"/>
      <sheetName val="TO PerfSumm"/>
      <sheetName val="TO BIO-DATA"/>
      <sheetName val="PHONE NO"/>
      <sheetName val="TELE"/>
      <sheetName val="Staff List (2)"/>
      <sheetName val="Current Staff"/>
      <sheetName val="Leave"/>
      <sheetName val="Current Staff (2)"/>
      <sheetName val="TRIP27N (2)"/>
      <sheetName val="TRIP27N"/>
      <sheetName val="L - 3 (3)"/>
      <sheetName val="L - 3 (2)"/>
      <sheetName val="L - 3"/>
      <sheetName val="TRIP27"/>
      <sheetName val="REST"/>
      <sheetName val="TripRB"/>
      <sheetName val="Trip26Told"/>
      <sheetName val="Trip26T3.9 (2)"/>
      <sheetName val="R26T3.9"/>
      <sheetName val="SundayTrip"/>
      <sheetName val="Trip26T (2)"/>
      <sheetName val="Staff List"/>
      <sheetName val="RSumm26T"/>
      <sheetName val="R26T"/>
      <sheetName val="27Trains (2)"/>
      <sheetName val="27Trains"/>
      <sheetName val="depot map"/>
      <sheetName val="R_Std"/>
      <sheetName val="R_SNo"/>
      <sheetName val="Test"/>
      <sheetName val="TCNew (21)"/>
      <sheetName val="TCNew (25)"/>
      <sheetName val="1.8 (2)"/>
      <sheetName val="summary"/>
      <sheetName val="train handling week one"/>
      <sheetName val="trainee"/>
      <sheetName val="DNUP16.4"/>
      <sheetName val="D"/>
      <sheetName val="P"/>
      <sheetName val="DC"/>
      <sheetName val="Dr"/>
      <sheetName val="tc28.5"/>
      <sheetName val="R28.5"/>
      <sheetName val="Driver"/>
      <sheetName val="DCC"/>
      <sheetName val="Pick up"/>
      <sheetName val="Drop"/>
      <sheetName val="R28.5M"/>
      <sheetName val="TCNew"/>
      <sheetName val="TripNew"/>
      <sheetName val="TripChart28.5M"/>
      <sheetName val="Sheet1 (2)"/>
      <sheetName val="1.9"/>
      <sheetName val="2.9"/>
      <sheetName val="3.9"/>
      <sheetName val="4.9"/>
      <sheetName val="R_today1"/>
      <sheetName val="R_Tomorrow1"/>
      <sheetName val="Trip26T3.9"/>
      <sheetName val="Driver26T"/>
      <sheetName val="Pick up26T"/>
      <sheetName val="DCC26T"/>
      <sheetName val="Drop26T"/>
      <sheetName val="SundayTri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un WTT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AS80"/>
  <sheetViews>
    <sheetView tabSelected="1" view="pageBreakPreview" zoomScale="85" zoomScaleNormal="70" workbookViewId="0">
      <pane ySplit="2" topLeftCell="A3" activePane="bottomLeft" state="frozen"/>
      <selection/>
      <selection pane="bottomLeft" activeCell="AB79" sqref="AB79"/>
    </sheetView>
  </sheetViews>
  <sheetFormatPr defaultColWidth="9" defaultRowHeight="15"/>
  <cols>
    <col min="1" max="1" width="6.14285714285714" style="8" customWidth="1"/>
    <col min="2" max="2" width="7.14285714285714" style="8" customWidth="1"/>
    <col min="3" max="3" width="12.4285714285714" style="9" customWidth="1"/>
    <col min="4" max="4" width="6.71428571428571" style="8" customWidth="1"/>
    <col min="5" max="6" width="9.71428571428571" style="8" customWidth="1"/>
    <col min="7" max="7" width="7" style="9" customWidth="1"/>
    <col min="8" max="8" width="11.8571428571429" style="8" customWidth="1"/>
    <col min="9" max="9" width="8" style="10" customWidth="1"/>
    <col min="10" max="10" width="1.28571428571429" style="10" customWidth="1"/>
    <col min="11" max="11" width="10" style="10" customWidth="1"/>
    <col min="12" max="12" width="6.71428571428571" style="10" customWidth="1"/>
    <col min="13" max="14" width="9.71428571428571" style="10" customWidth="1"/>
    <col min="15" max="15" width="7" style="10" customWidth="1"/>
    <col min="16" max="16" width="10.8571428571429" style="10" customWidth="1"/>
    <col min="17" max="17" width="8" style="10" customWidth="1"/>
    <col min="18" max="18" width="1.28571428571429" style="10" customWidth="1"/>
    <col min="19" max="19" width="10.8571428571429" style="10" customWidth="1"/>
    <col min="20" max="20" width="6.71428571428571" style="10" customWidth="1"/>
    <col min="21" max="22" width="9.71428571428571" style="10" customWidth="1"/>
    <col min="23" max="23" width="7" style="10" customWidth="1"/>
    <col min="24" max="24" width="11.1428571428571" style="10" customWidth="1"/>
    <col min="25" max="25" width="7.14285714285714" style="10" customWidth="1"/>
    <col min="26" max="26" width="8.57142857142857" style="10" customWidth="1"/>
    <col min="27" max="27" width="6.71428571428571" style="11" customWidth="1"/>
    <col min="28" max="32" width="8.57142857142857" style="10" customWidth="1"/>
    <col min="33" max="16384" width="9.14285714285714" style="10"/>
  </cols>
  <sheetData>
    <row r="1" ht="30" customHeight="1" spans="1:37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3"/>
      <c r="AC1" s="14"/>
      <c r="AD1" s="14"/>
      <c r="AE1" s="14"/>
      <c r="AF1" s="15"/>
    </row>
    <row r="2" ht="34.5" customHeight="1" spans="1:37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/>
      <c r="K2" s="16" t="s">
        <v>10</v>
      </c>
      <c r="L2" s="16" t="s">
        <v>4</v>
      </c>
      <c r="M2" s="16" t="s">
        <v>5</v>
      </c>
      <c r="N2" s="16" t="s">
        <v>6</v>
      </c>
      <c r="O2" s="16" t="s">
        <v>7</v>
      </c>
      <c r="P2" s="16" t="s">
        <v>8</v>
      </c>
      <c r="Q2" s="16" t="s">
        <v>9</v>
      </c>
      <c r="R2" s="16"/>
      <c r="S2" s="16" t="s">
        <v>10</v>
      </c>
      <c r="T2" s="16" t="s">
        <v>4</v>
      </c>
      <c r="U2" s="16" t="s">
        <v>5</v>
      </c>
      <c r="V2" s="16" t="s">
        <v>6</v>
      </c>
      <c r="W2" s="16" t="s">
        <v>7</v>
      </c>
      <c r="X2" s="16" t="s">
        <v>8</v>
      </c>
      <c r="Y2" s="16" t="s">
        <v>11</v>
      </c>
      <c r="Z2" s="16" t="s">
        <v>12</v>
      </c>
      <c r="AA2" s="16" t="s">
        <v>13</v>
      </c>
      <c r="AB2" s="16" t="s">
        <v>14</v>
      </c>
      <c r="AC2" s="16" t="s">
        <v>15</v>
      </c>
      <c r="AD2" s="17" t="s">
        <v>16</v>
      </c>
      <c r="AE2" s="16" t="s">
        <v>17</v>
      </c>
      <c r="AF2" s="16" t="s">
        <v>18</v>
      </c>
    </row>
    <row r="3" s="1" customFormat="1" ht="21.95" customHeight="1" spans="1:37">
      <c r="A3" s="18">
        <v>1</v>
      </c>
      <c r="B3" s="19">
        <v>0.25</v>
      </c>
      <c r="C3" s="18" t="s">
        <v>19</v>
      </c>
      <c r="D3" s="20" t="s">
        <v>20</v>
      </c>
      <c r="E3" s="21"/>
      <c r="F3" s="22"/>
      <c r="G3" s="23"/>
      <c r="H3" s="22"/>
      <c r="I3" s="22"/>
      <c r="J3" s="22"/>
      <c r="K3" s="22"/>
      <c r="L3" s="20" t="s">
        <v>20</v>
      </c>
      <c r="M3" s="22"/>
      <c r="N3" s="22"/>
      <c r="O3" s="23"/>
      <c r="P3" s="22"/>
      <c r="Q3" s="22"/>
      <c r="R3" s="22"/>
      <c r="S3" s="22"/>
      <c r="T3" s="20" t="s">
        <v>20</v>
      </c>
      <c r="U3" s="22"/>
      <c r="V3" s="22"/>
      <c r="W3" s="23"/>
      <c r="X3" s="22"/>
      <c r="Y3" s="24">
        <v>0.583333333333333</v>
      </c>
      <c r="Z3" s="25" t="s">
        <v>19</v>
      </c>
      <c r="AA3" s="26"/>
      <c r="AB3" s="27">
        <f>MOD((Y3-B3),1)</f>
        <v>0.333333333333333</v>
      </c>
      <c r="AC3" s="26"/>
      <c r="AD3" s="26"/>
      <c r="AE3" s="28"/>
      <c r="AF3" s="26"/>
      <c r="AH3" s="29"/>
      <c r="AI3" s="30"/>
      <c r="AJ3" s="29"/>
      <c r="AK3" s="29"/>
    </row>
    <row r="4" s="2" customFormat="1" ht="21.95" customHeight="1" spans="1:37">
      <c r="A4" s="31">
        <v>2</v>
      </c>
      <c r="B4" s="32">
        <v>0.25</v>
      </c>
      <c r="C4" s="31" t="s">
        <v>21</v>
      </c>
      <c r="D4" s="33" t="s">
        <v>22</v>
      </c>
      <c r="E4" s="34"/>
      <c r="F4" s="35"/>
      <c r="G4" s="36"/>
      <c r="H4" s="37"/>
      <c r="I4" s="36"/>
      <c r="J4" s="37"/>
      <c r="K4" s="37"/>
      <c r="L4" s="33" t="s">
        <v>22</v>
      </c>
      <c r="M4" s="36"/>
      <c r="N4" s="36"/>
      <c r="O4" s="36"/>
      <c r="P4" s="37"/>
      <c r="Q4" s="32"/>
      <c r="R4" s="37"/>
      <c r="S4" s="37"/>
      <c r="T4" s="33" t="s">
        <v>22</v>
      </c>
      <c r="U4" s="37"/>
      <c r="V4" s="37"/>
      <c r="W4" s="36"/>
      <c r="X4" s="37"/>
      <c r="Y4" s="34">
        <v>0.583333333333333</v>
      </c>
      <c r="Z4" s="37" t="s">
        <v>19</v>
      </c>
      <c r="AA4" s="36"/>
      <c r="AB4" s="36">
        <f>MOD((Y4-B4),1)</f>
        <v>0.333333333333333</v>
      </c>
      <c r="AC4" s="38"/>
      <c r="AD4" s="38"/>
      <c r="AE4" s="38"/>
      <c r="AF4" s="38"/>
    </row>
    <row r="5" s="3" customFormat="1" ht="21.95" customHeight="1" spans="1:37">
      <c r="A5" s="18">
        <v>3</v>
      </c>
      <c r="B5" s="19">
        <f>E5-TIME(0,15,0)</f>
        <v>0.260416666666667</v>
      </c>
      <c r="C5" s="25" t="s">
        <v>23</v>
      </c>
      <c r="D5" s="25">
        <v>207</v>
      </c>
      <c r="E5" s="27">
        <v>0.270833333333333</v>
      </c>
      <c r="F5" s="27">
        <v>0.365416666666667</v>
      </c>
      <c r="G5" s="27">
        <f>F5-E5</f>
        <v>0.0945833333333334</v>
      </c>
      <c r="H5" s="27"/>
      <c r="I5" s="19">
        <f>M5-F5</f>
        <v>0.0138888888888886</v>
      </c>
      <c r="J5" s="25"/>
      <c r="K5" s="39"/>
      <c r="L5" s="25">
        <v>209</v>
      </c>
      <c r="M5" s="27">
        <v>0.379305555555555</v>
      </c>
      <c r="N5" s="27">
        <v>0.476527777777778</v>
      </c>
      <c r="O5" s="27">
        <f>N5-M5</f>
        <v>0.0972222222222225</v>
      </c>
      <c r="P5" s="27"/>
      <c r="Q5" s="19">
        <f>U5-N5</f>
        <v>0.0241666666666666</v>
      </c>
      <c r="R5" s="25"/>
      <c r="S5" s="27" t="s">
        <v>24</v>
      </c>
      <c r="T5" s="25">
        <v>216</v>
      </c>
      <c r="U5" s="40">
        <v>0.500694444444444</v>
      </c>
      <c r="V5" s="27">
        <v>0.57791666666667</v>
      </c>
      <c r="W5" s="27">
        <f>V5-U5</f>
        <v>0.0772222222222254</v>
      </c>
      <c r="X5" s="41"/>
      <c r="Y5" s="19">
        <v>0.583333333333333</v>
      </c>
      <c r="Z5" s="25" t="s">
        <v>19</v>
      </c>
      <c r="AA5" s="25">
        <v>178</v>
      </c>
      <c r="AB5" s="27">
        <f>MOD((Y5-B5),1)</f>
        <v>0.322916666666667</v>
      </c>
      <c r="AC5" s="19">
        <f>G5+O5+W5</f>
        <v>0.269027777777781</v>
      </c>
      <c r="AD5" s="19">
        <f>I5+Q5</f>
        <v>0.0380555555555552</v>
      </c>
      <c r="AE5" s="27"/>
      <c r="AF5" s="18"/>
    </row>
    <row r="6" s="4" customFormat="1" ht="21.95" customHeight="1" spans="1:37">
      <c r="A6" s="31">
        <v>4</v>
      </c>
      <c r="B6" s="32">
        <v>0.277777777777778</v>
      </c>
      <c r="C6" s="37" t="s">
        <v>25</v>
      </c>
      <c r="D6" s="37">
        <v>201</v>
      </c>
      <c r="E6" s="42">
        <v>0.290277777777778</v>
      </c>
      <c r="F6" s="36">
        <v>0.356388888888889</v>
      </c>
      <c r="G6" s="36">
        <f>F6-E6</f>
        <v>0.0661111111111112</v>
      </c>
      <c r="H6" s="36"/>
      <c r="I6" s="32">
        <f>M6-F6</f>
        <v>0.0159722222222222</v>
      </c>
      <c r="J6" s="37"/>
      <c r="K6" s="43"/>
      <c r="L6" s="37">
        <v>208</v>
      </c>
      <c r="M6" s="36">
        <v>0.372361111111111</v>
      </c>
      <c r="N6" s="36">
        <v>0.469583333333332</v>
      </c>
      <c r="O6" s="36">
        <f>N6-M6</f>
        <v>0.0972222222222212</v>
      </c>
      <c r="P6" s="36"/>
      <c r="Q6" s="32">
        <f>U6-N6</f>
        <v>0.020833333333335</v>
      </c>
      <c r="R6" s="36"/>
      <c r="S6" s="43"/>
      <c r="T6" s="37">
        <v>211</v>
      </c>
      <c r="U6" s="36">
        <v>0.490416666666667</v>
      </c>
      <c r="V6" s="36">
        <v>0.589027777777783</v>
      </c>
      <c r="W6" s="36">
        <f>V6-U6</f>
        <v>0.0986111111111156</v>
      </c>
      <c r="X6" s="43"/>
      <c r="Y6" s="32">
        <v>0.59375</v>
      </c>
      <c r="Z6" s="37" t="s">
        <v>19</v>
      </c>
      <c r="AA6" s="37">
        <v>180</v>
      </c>
      <c r="AB6" s="36">
        <f>MOD((Y6-B6),1)</f>
        <v>0.315972222222222</v>
      </c>
      <c r="AC6" s="32">
        <f>G6+O6+W6</f>
        <v>0.261944444444448</v>
      </c>
      <c r="AD6" s="32">
        <f>I6+Q6</f>
        <v>0.0368055555555571</v>
      </c>
      <c r="AE6" s="36"/>
      <c r="AF6" s="37"/>
    </row>
    <row r="7" s="3" customFormat="1" ht="21.95" customHeight="1" spans="1:37">
      <c r="A7" s="18">
        <v>5</v>
      </c>
      <c r="B7" s="19">
        <f>E7-TIME(0,15,0)</f>
        <v>0.28125</v>
      </c>
      <c r="C7" s="25" t="s">
        <v>26</v>
      </c>
      <c r="D7" s="25">
        <v>213</v>
      </c>
      <c r="E7" s="27">
        <v>0.291666666666667</v>
      </c>
      <c r="F7" s="27">
        <v>0.326388888888889</v>
      </c>
      <c r="G7" s="27">
        <f>F7-E7</f>
        <v>0.0347222222222222</v>
      </c>
      <c r="H7" s="39" t="s">
        <v>27</v>
      </c>
      <c r="I7" s="19">
        <f>M7-F7</f>
        <v>0.0298611111111111</v>
      </c>
      <c r="J7" s="44"/>
      <c r="L7" s="25">
        <v>201</v>
      </c>
      <c r="M7" s="27">
        <v>0.35625</v>
      </c>
      <c r="N7" s="27">
        <v>0.455555555555556</v>
      </c>
      <c r="O7" s="27">
        <f>N7-M7</f>
        <v>0.0993055555555555</v>
      </c>
      <c r="P7" s="27"/>
      <c r="Q7" s="19">
        <f>U7-N7</f>
        <v>0.0173611111111111</v>
      </c>
      <c r="R7" s="44"/>
      <c r="S7" s="27" t="s">
        <v>24</v>
      </c>
      <c r="T7" s="25">
        <v>215</v>
      </c>
      <c r="U7" s="40">
        <v>0.472916666666667</v>
      </c>
      <c r="V7" s="40">
        <v>0.574305555555556</v>
      </c>
      <c r="W7" s="27">
        <f>V7-U7</f>
        <v>0.101388888888889</v>
      </c>
      <c r="X7" s="27" t="s">
        <v>24</v>
      </c>
      <c r="Y7" s="19">
        <v>0.579861111111111</v>
      </c>
      <c r="Z7" s="25" t="s">
        <v>19</v>
      </c>
      <c r="AA7" s="45">
        <v>139</v>
      </c>
      <c r="AB7" s="27">
        <f>MOD((Y7-B7),1)</f>
        <v>0.298611111111111</v>
      </c>
      <c r="AC7" s="19">
        <f>G7+O7+W7</f>
        <v>0.235416666666667</v>
      </c>
      <c r="AD7" s="19">
        <f>I7+Q7</f>
        <v>0.0472222222222222</v>
      </c>
      <c r="AE7" s="27"/>
      <c r="AF7" s="45"/>
    </row>
    <row r="8" s="4" customFormat="1" ht="21.95" customHeight="1" spans="1:37">
      <c r="A8" s="31">
        <v>6</v>
      </c>
      <c r="B8" s="32">
        <v>0.288194444444444</v>
      </c>
      <c r="C8" s="36" t="s">
        <v>24</v>
      </c>
      <c r="D8" s="37">
        <v>208</v>
      </c>
      <c r="E8" s="42">
        <v>0.300694444444444</v>
      </c>
      <c r="F8" s="36">
        <v>0.372361111111111</v>
      </c>
      <c r="G8" s="36">
        <f>F8-E8</f>
        <v>0.0716666666666667</v>
      </c>
      <c r="H8" s="36"/>
      <c r="I8" s="32">
        <f>M8-F8</f>
        <v>0.0208333333333331</v>
      </c>
      <c r="J8" s="37"/>
      <c r="K8" s="37"/>
      <c r="L8" s="37">
        <v>211</v>
      </c>
      <c r="M8" s="36">
        <v>0.393194444444444</v>
      </c>
      <c r="N8" s="36">
        <v>0.490416666666667</v>
      </c>
      <c r="O8" s="36">
        <f>N8-M8</f>
        <v>0.097222222222223</v>
      </c>
      <c r="P8" s="37"/>
      <c r="Q8" s="32">
        <f>U8-N8</f>
        <v>0.0208333333333329</v>
      </c>
      <c r="R8" s="37"/>
      <c r="S8" s="43"/>
      <c r="T8" s="37">
        <v>203</v>
      </c>
      <c r="U8" s="36">
        <v>0.51125</v>
      </c>
      <c r="V8" s="36">
        <v>0.611250000000008</v>
      </c>
      <c r="W8" s="36">
        <f>V8-U8</f>
        <v>0.100000000000008</v>
      </c>
      <c r="X8" s="43"/>
      <c r="Y8" s="32">
        <v>0.614583333333333</v>
      </c>
      <c r="Z8" s="37" t="s">
        <v>19</v>
      </c>
      <c r="AA8" s="37">
        <v>191</v>
      </c>
      <c r="AB8" s="36">
        <f>MOD((Y8-B8),1)</f>
        <v>0.326388888888889</v>
      </c>
      <c r="AC8" s="32">
        <f>G8+O8+W8</f>
        <v>0.268888888888897</v>
      </c>
      <c r="AD8" s="32">
        <f>I8+Q8</f>
        <v>0.0416666666666661</v>
      </c>
      <c r="AE8" s="36"/>
      <c r="AF8" s="31"/>
    </row>
    <row r="9" s="3" customFormat="1" ht="21.95" customHeight="1" spans="1:37">
      <c r="A9" s="18"/>
      <c r="B9" s="19"/>
      <c r="C9" s="27"/>
      <c r="D9" s="25"/>
      <c r="E9" s="40"/>
      <c r="F9" s="27"/>
      <c r="G9" s="27"/>
      <c r="H9" s="27"/>
      <c r="I9" s="19"/>
      <c r="J9" s="25"/>
      <c r="K9" s="25"/>
      <c r="L9" s="25"/>
      <c r="M9" s="27"/>
      <c r="N9" s="27"/>
      <c r="O9" s="27"/>
      <c r="P9" s="25"/>
      <c r="Q9" s="19"/>
      <c r="R9" s="25"/>
      <c r="S9" s="41"/>
      <c r="T9" s="41"/>
      <c r="U9" s="41"/>
      <c r="V9" s="41"/>
      <c r="W9" s="41"/>
      <c r="X9" s="41"/>
      <c r="Y9" s="19"/>
      <c r="Z9" s="25"/>
      <c r="AA9" s="25"/>
      <c r="AB9" s="27"/>
      <c r="AC9" s="19"/>
      <c r="AD9" s="19"/>
      <c r="AE9" s="27"/>
      <c r="AF9" s="18"/>
    </row>
    <row r="10" s="4" customFormat="1" ht="21.95" customHeight="1" spans="1:37">
      <c r="A10" s="31">
        <v>7</v>
      </c>
      <c r="B10" s="32">
        <f>E10-TIME(0,15,0)</f>
        <v>0.295138888888889</v>
      </c>
      <c r="C10" s="37" t="s">
        <v>24</v>
      </c>
      <c r="D10" s="37">
        <v>209</v>
      </c>
      <c r="E10" s="42">
        <v>0.305555555555556</v>
      </c>
      <c r="F10" s="36">
        <v>0.379305555555555</v>
      </c>
      <c r="G10" s="36">
        <f>F10-E10</f>
        <v>0.0737499999999998</v>
      </c>
      <c r="H10" s="36"/>
      <c r="I10" s="32">
        <f>M10-F10</f>
        <v>0.027777777777778</v>
      </c>
      <c r="J10" s="37"/>
      <c r="K10" s="37"/>
      <c r="L10" s="37">
        <v>202</v>
      </c>
      <c r="M10" s="36">
        <v>0.407083333333333</v>
      </c>
      <c r="N10" s="36">
        <v>0.504305555555555</v>
      </c>
      <c r="O10" s="36">
        <f>N10-M10</f>
        <v>0.0972222222222218</v>
      </c>
      <c r="P10" s="36"/>
      <c r="Q10" s="32">
        <f>U10-N10</f>
        <v>0.020833333333334</v>
      </c>
      <c r="R10" s="37"/>
      <c r="S10" s="46"/>
      <c r="T10" s="37">
        <v>213</v>
      </c>
      <c r="U10" s="36">
        <v>0.525138888888889</v>
      </c>
      <c r="V10" s="36">
        <v>0.622222222222222</v>
      </c>
      <c r="W10" s="36">
        <f>V10-U10</f>
        <v>0.0970833333333331</v>
      </c>
      <c r="X10" s="43"/>
      <c r="Y10" s="32">
        <v>0.625</v>
      </c>
      <c r="Z10" s="37" t="s">
        <v>19</v>
      </c>
      <c r="AA10" s="37">
        <v>191</v>
      </c>
      <c r="AB10" s="36">
        <f>MOD((Y10-B10),1)</f>
        <v>0.329861111111111</v>
      </c>
      <c r="AC10" s="32">
        <f>G10+O10+W10</f>
        <v>0.268055555555555</v>
      </c>
      <c r="AD10" s="32">
        <f>I10+Q10</f>
        <v>0.048611111111112</v>
      </c>
      <c r="AE10" s="36"/>
      <c r="AF10" s="37"/>
    </row>
    <row r="11" s="3" customFormat="1" ht="21.95" customHeight="1" spans="1:37">
      <c r="A11" s="18">
        <v>8</v>
      </c>
      <c r="B11" s="19">
        <v>0.298611111111111</v>
      </c>
      <c r="C11" s="27" t="s">
        <v>24</v>
      </c>
      <c r="D11" s="25">
        <v>210</v>
      </c>
      <c r="E11" s="40">
        <v>0.310416666666667</v>
      </c>
      <c r="F11" s="27">
        <v>0.38625</v>
      </c>
      <c r="G11" s="27">
        <f>F11-E11</f>
        <v>0.0758333333333336</v>
      </c>
      <c r="H11" s="27"/>
      <c r="I11" s="19">
        <f>M11-F11</f>
        <v>0.027777777777777</v>
      </c>
      <c r="J11" s="25"/>
      <c r="K11" s="25"/>
      <c r="L11" s="25">
        <v>203</v>
      </c>
      <c r="M11" s="27">
        <v>0.414027777777777</v>
      </c>
      <c r="N11" s="27">
        <v>0.51125</v>
      </c>
      <c r="O11" s="27">
        <f>N11-M11</f>
        <v>0.0972222222222229</v>
      </c>
      <c r="P11" s="25"/>
      <c r="Q11" s="19">
        <f>U11-N11</f>
        <v>0.0463888888888887</v>
      </c>
      <c r="R11" s="27"/>
      <c r="S11" s="25" t="s">
        <v>24</v>
      </c>
      <c r="T11" s="25">
        <v>218</v>
      </c>
      <c r="U11" s="40">
        <v>0.557638888888889</v>
      </c>
      <c r="V11" s="27">
        <v>0.619444444444444</v>
      </c>
      <c r="W11" s="27">
        <f>V11-U11</f>
        <v>0.0618055555555556</v>
      </c>
      <c r="X11" s="25" t="s">
        <v>28</v>
      </c>
      <c r="Y11" s="19">
        <v>0.625</v>
      </c>
      <c r="Z11" s="18" t="s">
        <v>21</v>
      </c>
      <c r="AA11" s="25">
        <v>167</v>
      </c>
      <c r="AB11" s="27">
        <f>MOD((Y11-B11),1)</f>
        <v>0.326388888888889</v>
      </c>
      <c r="AC11" s="19">
        <f>G11+O11+W11</f>
        <v>0.234861111111112</v>
      </c>
      <c r="AD11" s="19">
        <f>I11+Q11</f>
        <v>0.0741666666666657</v>
      </c>
      <c r="AE11" s="27"/>
      <c r="AF11" s="25"/>
    </row>
    <row r="12" s="4" customFormat="1" ht="21.95" customHeight="1" spans="1:37">
      <c r="A12" s="31">
        <v>9</v>
      </c>
      <c r="B12" s="32">
        <v>0.298611111111111</v>
      </c>
      <c r="C12" s="31" t="s">
        <v>19</v>
      </c>
      <c r="D12" s="37">
        <v>202</v>
      </c>
      <c r="E12" s="36">
        <v>0.311111111111111</v>
      </c>
      <c r="F12" s="36">
        <v>0.407083333333333</v>
      </c>
      <c r="G12" s="36">
        <f>F12-E12</f>
        <v>0.0959722222222222</v>
      </c>
      <c r="H12" s="36"/>
      <c r="I12" s="32">
        <f>M12-F12</f>
        <v>0.027777777777778</v>
      </c>
      <c r="J12" s="37"/>
      <c r="K12" s="37"/>
      <c r="L12" s="37">
        <v>205</v>
      </c>
      <c r="M12" s="36">
        <v>0.434861111111111</v>
      </c>
      <c r="N12" s="36">
        <v>0.532083333333333</v>
      </c>
      <c r="O12" s="36">
        <f>N12-M12</f>
        <v>0.0972222222222216</v>
      </c>
      <c r="P12" s="36"/>
      <c r="Q12" s="32">
        <f>U12-N12</f>
        <v>0.0234722222222227</v>
      </c>
      <c r="R12" s="37"/>
      <c r="S12" s="43"/>
      <c r="T12" s="37">
        <v>201</v>
      </c>
      <c r="U12" s="36">
        <v>0.555555555555556</v>
      </c>
      <c r="V12" s="42">
        <v>0.579861111111111</v>
      </c>
      <c r="W12" s="36">
        <f>V12-U12</f>
        <v>0.0243055555555555</v>
      </c>
      <c r="X12" s="37"/>
      <c r="Y12" s="32">
        <v>0.583333333333333</v>
      </c>
      <c r="Z12" s="37" t="s">
        <v>19</v>
      </c>
      <c r="AA12" s="37">
        <v>149</v>
      </c>
      <c r="AB12" s="36">
        <f>MOD((Y12-B12),1)</f>
        <v>0.284722222222222</v>
      </c>
      <c r="AC12" s="32">
        <f>G12+O12+W12</f>
        <v>0.217499999999999</v>
      </c>
      <c r="AD12" s="32">
        <f>I12+Q12</f>
        <v>0.0512500000000007</v>
      </c>
      <c r="AE12" s="36"/>
      <c r="AF12" s="37"/>
    </row>
    <row r="13" s="3" customFormat="1" ht="21.95" customHeight="1" spans="1:37">
      <c r="A13" s="47">
        <v>10</v>
      </c>
      <c r="B13" s="48">
        <v>0.305555555555556</v>
      </c>
      <c r="C13" s="49" t="s">
        <v>24</v>
      </c>
      <c r="D13" s="50">
        <v>211</v>
      </c>
      <c r="E13" s="51">
        <v>0.317361111111111</v>
      </c>
      <c r="F13" s="49">
        <v>0.393194444444444</v>
      </c>
      <c r="G13" s="49">
        <f>F13-E13</f>
        <v>0.0758333333333331</v>
      </c>
      <c r="H13" s="50"/>
      <c r="I13" s="48">
        <f>M13-F13</f>
        <v>0.027777777777778</v>
      </c>
      <c r="J13" s="50"/>
      <c r="K13" s="50"/>
      <c r="L13" s="50">
        <v>204</v>
      </c>
      <c r="M13" s="49">
        <v>0.420972222222222</v>
      </c>
      <c r="N13" s="49">
        <v>0.518055555555556</v>
      </c>
      <c r="O13" s="49">
        <f>N13-M13</f>
        <v>0.0970833333333333</v>
      </c>
      <c r="P13" s="50"/>
      <c r="Q13" s="48">
        <f>U13-N13</f>
        <v>0.0140277777777773</v>
      </c>
      <c r="R13" s="50"/>
      <c r="S13" s="52"/>
      <c r="T13" s="50">
        <v>205</v>
      </c>
      <c r="U13" s="49">
        <v>0.532083333333333</v>
      </c>
      <c r="V13" s="49">
        <v>0.613888888888889</v>
      </c>
      <c r="W13" s="49">
        <f>V13-U13</f>
        <v>0.0818055555555559</v>
      </c>
      <c r="X13" s="50" t="s">
        <v>28</v>
      </c>
      <c r="Y13" s="48">
        <v>0.625</v>
      </c>
      <c r="Z13" s="47" t="s">
        <v>21</v>
      </c>
      <c r="AA13" s="25">
        <v>180</v>
      </c>
      <c r="AB13" s="27">
        <f>MOD((Y13-B13),1)</f>
        <v>0.319444444444444</v>
      </c>
      <c r="AC13" s="19">
        <f>G13+O13+W13</f>
        <v>0.254722222222222</v>
      </c>
      <c r="AD13" s="19">
        <f>I13+Q13</f>
        <v>0.0418055555555553</v>
      </c>
      <c r="AE13" s="27"/>
      <c r="AF13" s="18"/>
    </row>
    <row r="14" s="4" customFormat="1" ht="21.95" customHeight="1" spans="1:37">
      <c r="A14" s="53">
        <v>11</v>
      </c>
      <c r="B14" s="54">
        <v>0.305555555555556</v>
      </c>
      <c r="C14" s="55" t="s">
        <v>19</v>
      </c>
      <c r="D14" s="56">
        <v>203</v>
      </c>
      <c r="E14" s="57">
        <v>0.318194444444445</v>
      </c>
      <c r="F14" s="57">
        <v>0.414027777777777</v>
      </c>
      <c r="G14" s="57">
        <f>F14-E14</f>
        <v>0.0958333333333328</v>
      </c>
      <c r="H14" s="57"/>
      <c r="I14" s="58">
        <f>M14-F14</f>
        <v>0.027777777777778</v>
      </c>
      <c r="J14" s="56"/>
      <c r="K14" s="56"/>
      <c r="L14" s="56">
        <v>206</v>
      </c>
      <c r="M14" s="57">
        <v>0.441805555555555</v>
      </c>
      <c r="N14" s="57">
        <v>0.539027777777777</v>
      </c>
      <c r="O14" s="57">
        <f>N14-M14</f>
        <v>0.0972222222222216</v>
      </c>
      <c r="P14" s="59"/>
      <c r="Q14" s="58">
        <f>U14-N14</f>
        <v>0.0220833333333342</v>
      </c>
      <c r="R14" s="56"/>
      <c r="S14" s="60"/>
      <c r="T14" s="56">
        <v>207</v>
      </c>
      <c r="U14" s="57">
        <v>0.561111111111111</v>
      </c>
      <c r="V14" s="61">
        <v>0.585416666666667</v>
      </c>
      <c r="W14" s="57">
        <f>V14-U14</f>
        <v>0.0243055555555556</v>
      </c>
      <c r="X14" s="56"/>
      <c r="Y14" s="54">
        <v>0.628472222222222</v>
      </c>
      <c r="Z14" s="62" t="s">
        <v>19</v>
      </c>
      <c r="AA14" s="63">
        <v>162</v>
      </c>
      <c r="AB14" s="36">
        <f>MOD((Y14-B14),1)</f>
        <v>0.322916666666667</v>
      </c>
      <c r="AC14" s="32">
        <f>G14+O14+W14+W15</f>
        <v>0.241666666666666</v>
      </c>
      <c r="AD14" s="32">
        <f>I14+Q14+Q15</f>
        <v>0.0644444444444455</v>
      </c>
      <c r="AE14" s="36"/>
      <c r="AF14" s="37"/>
    </row>
    <row r="15" s="4" customFormat="1" ht="21.95" customHeight="1" spans="1:37">
      <c r="A15" s="64"/>
      <c r="B15" s="65"/>
      <c r="C15" s="66"/>
      <c r="D15" s="67"/>
      <c r="E15" s="68"/>
      <c r="F15" s="68"/>
      <c r="G15" s="68"/>
      <c r="H15" s="68"/>
      <c r="I15" s="69"/>
      <c r="J15" s="67"/>
      <c r="K15" s="67"/>
      <c r="L15" s="67"/>
      <c r="M15" s="68"/>
      <c r="N15" s="68"/>
      <c r="O15" s="68"/>
      <c r="P15" s="70"/>
      <c r="Q15" s="69">
        <f>U15-V14</f>
        <v>0.0145833333333333</v>
      </c>
      <c r="R15" s="67"/>
      <c r="S15" s="67"/>
      <c r="T15" s="67">
        <v>202</v>
      </c>
      <c r="U15" s="68">
        <v>0.6</v>
      </c>
      <c r="V15" s="71">
        <v>0.624305555555556</v>
      </c>
      <c r="W15" s="68">
        <f>V15-U15</f>
        <v>0.0243055555555556</v>
      </c>
      <c r="X15" s="67"/>
      <c r="Y15" s="65"/>
      <c r="Z15" s="72"/>
      <c r="AA15" s="73"/>
      <c r="AB15" s="36"/>
      <c r="AC15" s="32"/>
      <c r="AD15" s="32"/>
      <c r="AE15" s="36"/>
      <c r="AF15" s="37"/>
    </row>
    <row r="16" s="3" customFormat="1" ht="21.95" customHeight="1" spans="1:37">
      <c r="A16" s="74"/>
      <c r="B16" s="75"/>
      <c r="C16" s="74"/>
      <c r="D16" s="76"/>
      <c r="E16" s="77"/>
      <c r="F16" s="77"/>
      <c r="G16" s="77"/>
      <c r="H16" s="77"/>
      <c r="I16" s="75"/>
      <c r="J16" s="76"/>
      <c r="K16" s="76"/>
      <c r="L16" s="76"/>
      <c r="M16" s="77"/>
      <c r="N16" s="77"/>
      <c r="O16" s="77"/>
      <c r="P16" s="78"/>
      <c r="Q16" s="75"/>
      <c r="R16" s="76"/>
      <c r="S16" s="79"/>
      <c r="T16" s="76"/>
      <c r="U16" s="77"/>
      <c r="V16" s="80"/>
      <c r="W16" s="77"/>
      <c r="X16" s="76"/>
      <c r="Y16" s="75"/>
      <c r="Z16" s="76"/>
      <c r="AA16" s="25"/>
      <c r="AB16" s="27"/>
      <c r="AC16" s="19"/>
      <c r="AD16" s="19"/>
      <c r="AE16" s="27"/>
      <c r="AF16" s="25"/>
    </row>
    <row r="17" s="4" customFormat="1" ht="21.95" customHeight="1" spans="1:36">
      <c r="A17" s="81">
        <v>12</v>
      </c>
      <c r="B17" s="82">
        <f>E17-TIME(0,15,0)</f>
        <v>0.309027777777778</v>
      </c>
      <c r="C17" s="83" t="s">
        <v>29</v>
      </c>
      <c r="D17" s="83">
        <v>206</v>
      </c>
      <c r="E17" s="84">
        <v>0.319444444444444</v>
      </c>
      <c r="F17" s="85">
        <v>0.367361111111111</v>
      </c>
      <c r="G17" s="84">
        <f>F17-E17</f>
        <v>0.0479166666666666</v>
      </c>
      <c r="H17" s="84"/>
      <c r="I17" s="82">
        <f>M17-F17</f>
        <v>0.0188888888888892</v>
      </c>
      <c r="J17" s="83"/>
      <c r="K17" s="83"/>
      <c r="L17" s="83">
        <v>210</v>
      </c>
      <c r="M17" s="84">
        <v>0.38625</v>
      </c>
      <c r="N17" s="84">
        <v>0.483472222222222</v>
      </c>
      <c r="O17" s="84">
        <f>N17-M17</f>
        <v>0.097222222222222</v>
      </c>
      <c r="P17" s="86"/>
      <c r="Q17" s="82">
        <f>U17-N17</f>
        <v>0.0208333333333328</v>
      </c>
      <c r="R17" s="83"/>
      <c r="S17" s="87"/>
      <c r="T17" s="83">
        <v>202</v>
      </c>
      <c r="U17" s="84">
        <v>0.504305555555555</v>
      </c>
      <c r="V17" s="84">
        <v>0.600138888888895</v>
      </c>
      <c r="W17" s="84">
        <f>V17-U17</f>
        <v>0.0958333333333398</v>
      </c>
      <c r="X17" s="87"/>
      <c r="Y17" s="82">
        <v>0.604166666666667</v>
      </c>
      <c r="Z17" s="83" t="s">
        <v>19</v>
      </c>
      <c r="AA17" s="37">
        <v>170</v>
      </c>
      <c r="AB17" s="36">
        <f>MOD((Y17-B17),1)</f>
        <v>0.295138888888889</v>
      </c>
      <c r="AC17" s="32">
        <f>G17+O17+W17</f>
        <v>0.240972222222228</v>
      </c>
      <c r="AD17" s="32">
        <f>I17+Q17</f>
        <v>0.039722222222222</v>
      </c>
      <c r="AE17" s="36"/>
      <c r="AF17" s="31"/>
      <c r="AJ17" s="88"/>
    </row>
    <row r="18" s="3" customFormat="1" ht="21.95" customHeight="1" spans="1:36">
      <c r="A18" s="89">
        <v>13</v>
      </c>
      <c r="B18" s="90">
        <v>0.309027777777778</v>
      </c>
      <c r="C18" s="91" t="s">
        <v>28</v>
      </c>
      <c r="D18" s="92">
        <v>205</v>
      </c>
      <c r="E18" s="93">
        <v>0.321527777777778</v>
      </c>
      <c r="F18" s="94">
        <v>0.360416666666667</v>
      </c>
      <c r="G18" s="93">
        <f>F18-E18</f>
        <v>0.0388888888888889</v>
      </c>
      <c r="H18" s="93"/>
      <c r="I18" s="95">
        <f>M18-F18</f>
        <v>0.0125</v>
      </c>
      <c r="J18" s="92"/>
      <c r="K18" s="93" t="s">
        <v>24</v>
      </c>
      <c r="L18" s="92">
        <v>214</v>
      </c>
      <c r="M18" s="94">
        <v>0.372916666666667</v>
      </c>
      <c r="N18" s="93">
        <v>0.448749999999999</v>
      </c>
      <c r="O18" s="93">
        <f>N18-M18</f>
        <v>0.0758333333333327</v>
      </c>
      <c r="P18" s="93"/>
      <c r="Q18" s="90">
        <f>U18-N18</f>
        <v>0.020833333333333</v>
      </c>
      <c r="R18" s="92"/>
      <c r="S18" s="96"/>
      <c r="T18" s="92">
        <v>208</v>
      </c>
      <c r="U18" s="93">
        <v>0.469583333333332</v>
      </c>
      <c r="V18" s="93">
        <v>0.566805555555558</v>
      </c>
      <c r="W18" s="93">
        <f>V18-U18</f>
        <v>0.0972222222222256</v>
      </c>
      <c r="X18" s="96"/>
      <c r="Y18" s="90">
        <v>0.625</v>
      </c>
      <c r="Z18" s="97" t="s">
        <v>19</v>
      </c>
      <c r="AA18" s="98">
        <v>160</v>
      </c>
      <c r="AB18" s="27">
        <f>MOD((Y18-B18),1)</f>
        <v>0.315972222222222</v>
      </c>
      <c r="AC18" s="19">
        <f>G18+O18+W18+W19</f>
        <v>0.236250000000003</v>
      </c>
      <c r="AD18" s="19">
        <f>I18+Q18+Q19</f>
        <v>0.0609722222222195</v>
      </c>
      <c r="AE18" s="27"/>
      <c r="AF18" s="18"/>
    </row>
    <row r="19" s="3" customFormat="1" ht="21.95" customHeight="1" spans="1:36">
      <c r="A19" s="99"/>
      <c r="B19" s="100"/>
      <c r="C19" s="101"/>
      <c r="D19" s="102"/>
      <c r="E19" s="103"/>
      <c r="F19" s="104"/>
      <c r="G19" s="103"/>
      <c r="H19" s="103"/>
      <c r="I19" s="105"/>
      <c r="J19" s="102"/>
      <c r="K19" s="103"/>
      <c r="L19" s="102"/>
      <c r="M19" s="104"/>
      <c r="N19" s="103"/>
      <c r="O19" s="103"/>
      <c r="P19" s="103"/>
      <c r="Q19" s="105">
        <f>U19-V18</f>
        <v>0.0276388888888865</v>
      </c>
      <c r="R19" s="106"/>
      <c r="S19" s="106"/>
      <c r="T19" s="102">
        <v>212</v>
      </c>
      <c r="U19" s="103">
        <v>0.594444444444444</v>
      </c>
      <c r="V19" s="104">
        <v>0.61875</v>
      </c>
      <c r="W19" s="103">
        <f>V19-U19</f>
        <v>0.0243055555555556</v>
      </c>
      <c r="X19" s="106"/>
      <c r="Y19" s="100"/>
      <c r="Z19" s="107"/>
      <c r="AA19" s="108"/>
      <c r="AB19" s="27"/>
      <c r="AC19" s="19"/>
      <c r="AD19" s="19"/>
      <c r="AE19" s="27"/>
      <c r="AF19" s="18"/>
    </row>
    <row r="20" s="4" customFormat="1" ht="21.95" customHeight="1" spans="1:36">
      <c r="A20" s="109">
        <v>14</v>
      </c>
      <c r="B20" s="110">
        <v>0.3125</v>
      </c>
      <c r="C20" s="111" t="s">
        <v>19</v>
      </c>
      <c r="D20" s="112">
        <v>204</v>
      </c>
      <c r="E20" s="113">
        <v>0.325138888888889</v>
      </c>
      <c r="F20" s="113">
        <v>0.420972222222222</v>
      </c>
      <c r="G20" s="113">
        <f>F20-E20</f>
        <v>0.0958333333333333</v>
      </c>
      <c r="H20" s="113"/>
      <c r="I20" s="110">
        <f>M20-F20</f>
        <v>0.027777777777777</v>
      </c>
      <c r="J20" s="112"/>
      <c r="K20" s="112"/>
      <c r="L20" s="112">
        <v>214</v>
      </c>
      <c r="M20" s="113">
        <v>0.448749999999999</v>
      </c>
      <c r="N20" s="113">
        <v>0.544583333333333</v>
      </c>
      <c r="O20" s="113">
        <f>N20-M20</f>
        <v>0.0958333333333338</v>
      </c>
      <c r="P20" s="113"/>
      <c r="Q20" s="110">
        <f>U20-N20</f>
        <v>0.0220833333333336</v>
      </c>
      <c r="R20" s="112"/>
      <c r="S20" s="114"/>
      <c r="T20" s="112">
        <v>208</v>
      </c>
      <c r="U20" s="113">
        <v>0.566666666666667</v>
      </c>
      <c r="V20" s="115">
        <v>0.590972222222222</v>
      </c>
      <c r="W20" s="113">
        <f>V20-U20</f>
        <v>0.0243055555555556</v>
      </c>
      <c r="X20" s="114"/>
      <c r="Y20" s="110">
        <v>0.597222222222222</v>
      </c>
      <c r="Z20" s="112" t="s">
        <v>19</v>
      </c>
      <c r="AA20" s="37">
        <v>149</v>
      </c>
      <c r="AB20" s="36">
        <f>MOD((Y20-B20),1)</f>
        <v>0.284722222222222</v>
      </c>
      <c r="AC20" s="32">
        <f>G20+O20+W20</f>
        <v>0.215972222222223</v>
      </c>
      <c r="AD20" s="32">
        <f>I20+Q20</f>
        <v>0.0498611111111106</v>
      </c>
      <c r="AE20" s="36"/>
      <c r="AF20" s="37"/>
    </row>
    <row r="21" s="3" customFormat="1" ht="21.95" customHeight="1" spans="1:36">
      <c r="A21" s="18">
        <v>15</v>
      </c>
      <c r="B21" s="19">
        <v>0.315972222222222</v>
      </c>
      <c r="C21" s="27" t="s">
        <v>24</v>
      </c>
      <c r="D21" s="25">
        <v>212</v>
      </c>
      <c r="E21" s="40">
        <v>0.324305555555556</v>
      </c>
      <c r="F21" s="27">
        <v>0.400138888888889</v>
      </c>
      <c r="G21" s="27">
        <f>F21-E21</f>
        <v>0.0758333333333337</v>
      </c>
      <c r="H21" s="25"/>
      <c r="I21" s="19">
        <f>M21-F21</f>
        <v>0.027777777777777</v>
      </c>
      <c r="J21" s="25"/>
      <c r="K21" s="25"/>
      <c r="L21" s="25">
        <v>213</v>
      </c>
      <c r="M21" s="27">
        <v>0.427916666666666</v>
      </c>
      <c r="N21" s="27">
        <v>0.525</v>
      </c>
      <c r="O21" s="27">
        <f>N21-M21</f>
        <v>0.0970833333333337</v>
      </c>
      <c r="P21" s="27"/>
      <c r="Q21" s="75">
        <f>U21-N21</f>
        <v>0.0138888888888888</v>
      </c>
      <c r="R21" s="27"/>
      <c r="S21" s="41"/>
      <c r="T21" s="25">
        <v>206</v>
      </c>
      <c r="U21" s="24">
        <v>0.538888888888889</v>
      </c>
      <c r="V21" s="24">
        <v>0.625</v>
      </c>
      <c r="W21" s="27">
        <f>V21-U21</f>
        <v>0.0861111111111111</v>
      </c>
      <c r="X21" s="25" t="s">
        <v>28</v>
      </c>
      <c r="Y21" s="19">
        <v>0.628472222222222</v>
      </c>
      <c r="Z21" s="47" t="s">
        <v>21</v>
      </c>
      <c r="AA21" s="25">
        <v>180</v>
      </c>
      <c r="AB21" s="27">
        <f>MOD((Y21-B21),1)</f>
        <v>0.3125</v>
      </c>
      <c r="AC21" s="19">
        <f>G21+O21+W21</f>
        <v>0.259027777777779</v>
      </c>
      <c r="AD21" s="19">
        <f>I21+Q21</f>
        <v>0.0416666666666659</v>
      </c>
      <c r="AE21" s="27"/>
      <c r="AF21" s="25"/>
    </row>
    <row r="22" s="4" customFormat="1" ht="21.95" customHeight="1" spans="1:36">
      <c r="A22" s="109">
        <v>16</v>
      </c>
      <c r="B22" s="32">
        <v>0.315972222222222</v>
      </c>
      <c r="C22" s="36" t="s">
        <v>27</v>
      </c>
      <c r="D22" s="37">
        <v>213</v>
      </c>
      <c r="E22" s="36">
        <v>0.326388888888889</v>
      </c>
      <c r="F22" s="36">
        <v>0.427916666666666</v>
      </c>
      <c r="G22" s="36">
        <f>F22-E22</f>
        <v>0.101527777777777</v>
      </c>
      <c r="H22" s="37"/>
      <c r="I22" s="32">
        <f>M22-F22</f>
        <v>0.027777777777778</v>
      </c>
      <c r="J22" s="37"/>
      <c r="K22" s="46"/>
      <c r="L22" s="37">
        <v>201</v>
      </c>
      <c r="M22" s="36">
        <v>0.455694444444444</v>
      </c>
      <c r="N22" s="36">
        <v>0.555555555555556</v>
      </c>
      <c r="O22" s="36">
        <f>N22-M22</f>
        <v>0.0998611111111113</v>
      </c>
      <c r="P22" s="36"/>
      <c r="Q22" s="110">
        <f>U22-N22</f>
        <v>0.0222222222222223</v>
      </c>
      <c r="R22" s="37"/>
      <c r="T22" s="37">
        <v>216</v>
      </c>
      <c r="U22" s="36">
        <v>0.577777777777778</v>
      </c>
      <c r="V22" s="42">
        <v>0.602083333333333</v>
      </c>
      <c r="W22" s="36">
        <f>V22-U22</f>
        <v>0.0243055555555555</v>
      </c>
      <c r="X22" s="37"/>
      <c r="Y22" s="32">
        <v>0.607638888888889</v>
      </c>
      <c r="Z22" s="37" t="s">
        <v>19</v>
      </c>
      <c r="AA22" s="37">
        <v>149</v>
      </c>
      <c r="AB22" s="36">
        <f>MOD((Y22-B22),1)</f>
        <v>0.291666666666667</v>
      </c>
      <c r="AC22" s="32">
        <f>G22+O22+W22</f>
        <v>0.225694444444444</v>
      </c>
      <c r="AD22" s="32">
        <f>I22+Q22</f>
        <v>0.0500000000000003</v>
      </c>
      <c r="AE22" s="36"/>
      <c r="AF22" s="37"/>
    </row>
    <row r="23" s="3" customFormat="1" ht="21.95" customHeight="1" spans="1:36">
      <c r="A23" s="18">
        <v>17</v>
      </c>
      <c r="B23" s="19">
        <f>E23-TIME(0,15,0)</f>
        <v>0.322916666666667</v>
      </c>
      <c r="C23" s="25" t="s">
        <v>30</v>
      </c>
      <c r="D23" s="25">
        <v>214</v>
      </c>
      <c r="E23" s="27">
        <v>0.333333333333333</v>
      </c>
      <c r="F23" s="40">
        <v>0.374305555555556</v>
      </c>
      <c r="G23" s="27">
        <f>F23-E23</f>
        <v>0.0409722222222222</v>
      </c>
      <c r="H23" s="27"/>
      <c r="I23" s="19">
        <f>M23-F23</f>
        <v>0.0258333333333338</v>
      </c>
      <c r="J23" s="25"/>
      <c r="K23" s="25"/>
      <c r="L23" s="25">
        <v>212</v>
      </c>
      <c r="M23" s="27">
        <v>0.400138888888889</v>
      </c>
      <c r="N23" s="27">
        <v>0.497361111111111</v>
      </c>
      <c r="O23" s="27">
        <f>N23-M23</f>
        <v>0.097222222222222</v>
      </c>
      <c r="P23" s="25"/>
      <c r="Q23" s="75">
        <f>U23-N23</f>
        <v>0.0208333333333329</v>
      </c>
      <c r="R23" s="25"/>
      <c r="S23" s="41"/>
      <c r="T23" s="25">
        <v>204</v>
      </c>
      <c r="U23" s="27">
        <v>0.518194444444444</v>
      </c>
      <c r="V23" s="27">
        <v>0.616805555555564</v>
      </c>
      <c r="W23" s="27">
        <f>V23-U23</f>
        <v>0.0986111111111198</v>
      </c>
      <c r="X23" s="41"/>
      <c r="Y23" s="19">
        <v>0.621527777777778</v>
      </c>
      <c r="Z23" s="25" t="s">
        <v>19</v>
      </c>
      <c r="AA23" s="25">
        <v>143</v>
      </c>
      <c r="AB23" s="27">
        <f>MOD((Y23-B23),1)</f>
        <v>0.298611111111111</v>
      </c>
      <c r="AC23" s="19">
        <f>G23+O23+W23</f>
        <v>0.236805555555564</v>
      </c>
      <c r="AD23" s="19">
        <f>I23+Q23</f>
        <v>0.0466666666666666</v>
      </c>
      <c r="AE23" s="27"/>
      <c r="AF23" s="18"/>
    </row>
    <row r="24" s="4" customFormat="1" ht="21.95" customHeight="1" spans="1:36">
      <c r="A24" s="31"/>
      <c r="B24" s="32"/>
      <c r="C24" s="37"/>
      <c r="D24" s="37"/>
      <c r="E24" s="36"/>
      <c r="F24" s="42"/>
      <c r="G24" s="36"/>
      <c r="H24" s="36"/>
      <c r="I24" s="32"/>
      <c r="J24" s="37"/>
      <c r="K24" s="37"/>
      <c r="L24" s="37"/>
      <c r="M24" s="36"/>
      <c r="N24" s="36"/>
      <c r="O24" s="36"/>
      <c r="P24" s="37"/>
      <c r="Q24" s="32"/>
      <c r="R24" s="37"/>
      <c r="S24" s="43"/>
      <c r="X24" s="43"/>
      <c r="Y24" s="32"/>
      <c r="Z24" s="37"/>
      <c r="AA24" s="37"/>
      <c r="AB24" s="36"/>
      <c r="AC24" s="32"/>
      <c r="AD24" s="32"/>
      <c r="AE24" s="36"/>
      <c r="AF24" s="31"/>
    </row>
    <row r="25" s="3" customFormat="1" ht="21.95" customHeight="1" spans="1:36">
      <c r="A25" s="18">
        <v>18</v>
      </c>
      <c r="B25" s="19">
        <v>0.347222222222222</v>
      </c>
      <c r="C25" s="25" t="s">
        <v>24</v>
      </c>
      <c r="D25" s="25">
        <v>205</v>
      </c>
      <c r="E25" s="40">
        <v>0.359027777777778</v>
      </c>
      <c r="F25" s="27">
        <v>0.434861111111111</v>
      </c>
      <c r="G25" s="27">
        <f>F25-E25</f>
        <v>0.0758333333333335</v>
      </c>
      <c r="H25" s="116"/>
      <c r="I25" s="19">
        <f>M25-F25</f>
        <v>0.027777777777777</v>
      </c>
      <c r="J25" s="25"/>
      <c r="K25" s="41"/>
      <c r="L25" s="25">
        <v>207</v>
      </c>
      <c r="M25" s="27">
        <v>0.462638888888888</v>
      </c>
      <c r="N25" s="27">
        <v>0.561250000000002</v>
      </c>
      <c r="O25" s="27">
        <f>N25-M25</f>
        <v>0.0986111111111136</v>
      </c>
      <c r="P25" s="41"/>
      <c r="Q25" s="19">
        <f>U25-N25</f>
        <v>0.022222222222225</v>
      </c>
      <c r="R25" s="25"/>
      <c r="S25" s="41"/>
      <c r="T25" s="25">
        <v>210</v>
      </c>
      <c r="U25" s="27">
        <v>0.583472222222227</v>
      </c>
      <c r="V25" s="27">
        <v>0.669444444444444</v>
      </c>
      <c r="W25" s="27">
        <f>V25-U25</f>
        <v>0.0859722222222175</v>
      </c>
      <c r="X25" s="25" t="s">
        <v>28</v>
      </c>
      <c r="Y25" s="19">
        <v>0.673611111111111</v>
      </c>
      <c r="Z25" s="47" t="s">
        <v>21</v>
      </c>
      <c r="AA25" s="25">
        <v>180</v>
      </c>
      <c r="AB25" s="27">
        <f>MOD((Y25-B25),1)</f>
        <v>0.326388888888889</v>
      </c>
      <c r="AC25" s="19">
        <f>G25+O25+W25</f>
        <v>0.260416666666665</v>
      </c>
      <c r="AD25" s="19">
        <f>I25+Q25</f>
        <v>0.050000000000002</v>
      </c>
      <c r="AE25" s="27"/>
      <c r="AF25" s="25"/>
    </row>
    <row r="26" s="4" customFormat="1" ht="21.95" customHeight="1" spans="1:36">
      <c r="A26" s="31">
        <v>19</v>
      </c>
      <c r="B26" s="32">
        <v>0.354166666666667</v>
      </c>
      <c r="C26" s="37" t="s">
        <v>24</v>
      </c>
      <c r="D26" s="37">
        <v>206</v>
      </c>
      <c r="E26" s="42">
        <v>0.365972222222222</v>
      </c>
      <c r="F26" s="36">
        <v>0.441805555555555</v>
      </c>
      <c r="G26" s="36">
        <f>F26-E26</f>
        <v>0.0758333333333331</v>
      </c>
      <c r="H26" s="37"/>
      <c r="I26" s="32">
        <f>M26-F26</f>
        <v>0.0347222222222225</v>
      </c>
      <c r="J26" s="37"/>
      <c r="K26" s="117"/>
      <c r="L26" s="37">
        <v>209</v>
      </c>
      <c r="M26" s="36">
        <v>0.476527777777778</v>
      </c>
      <c r="N26" s="36">
        <v>0.572222222222222</v>
      </c>
      <c r="O26" s="36">
        <f>N26-M26</f>
        <v>0.0956944444444444</v>
      </c>
      <c r="P26" s="36"/>
      <c r="Q26" s="32">
        <f>U26-N26</f>
        <v>0.0284722222222222</v>
      </c>
      <c r="R26" s="37"/>
      <c r="S26" s="37" t="s">
        <v>24</v>
      </c>
      <c r="T26" s="37">
        <v>216</v>
      </c>
      <c r="U26" s="42">
        <v>0.600694444444444</v>
      </c>
      <c r="V26" s="36">
        <v>0.677916666666666</v>
      </c>
      <c r="W26" s="36">
        <f>V26-U26</f>
        <v>0.0772222222222215</v>
      </c>
      <c r="X26" s="37"/>
      <c r="Y26" s="32">
        <v>0.680555555555555</v>
      </c>
      <c r="Z26" s="37" t="s">
        <v>19</v>
      </c>
      <c r="AA26" s="37">
        <v>178</v>
      </c>
      <c r="AB26" s="36">
        <f>MOD((Y26-B26),1)</f>
        <v>0.326388888888889</v>
      </c>
      <c r="AC26" s="32">
        <f>G26+O26+W26</f>
        <v>0.248749999999999</v>
      </c>
      <c r="AD26" s="32">
        <f>I26+Q26</f>
        <v>0.0631944444444448</v>
      </c>
      <c r="AE26" s="36"/>
      <c r="AF26" s="37"/>
    </row>
    <row r="27" s="3" customFormat="1" ht="21.95" customHeight="1" spans="1:36">
      <c r="A27" s="18">
        <v>20</v>
      </c>
      <c r="B27" s="19">
        <v>0.354166666666667</v>
      </c>
      <c r="C27" s="74" t="s">
        <v>19</v>
      </c>
      <c r="D27" s="25">
        <v>207</v>
      </c>
      <c r="E27" s="27">
        <v>0.365416666666667</v>
      </c>
      <c r="F27" s="27">
        <v>0.462638888888888</v>
      </c>
      <c r="G27" s="27">
        <f>F27-E27</f>
        <v>0.0972222222222215</v>
      </c>
      <c r="H27" s="25"/>
      <c r="I27" s="19">
        <f>M27-F27</f>
        <v>0.020833333333334</v>
      </c>
      <c r="J27" s="25"/>
      <c r="K27" s="25"/>
      <c r="L27" s="76">
        <v>210</v>
      </c>
      <c r="M27" s="77">
        <v>0.483472222222222</v>
      </c>
      <c r="N27" s="77">
        <v>0.583333333333333</v>
      </c>
      <c r="O27" s="77">
        <f>N27-M27</f>
        <v>0.0998611111111111</v>
      </c>
      <c r="P27" s="25"/>
      <c r="Q27" s="19">
        <f>U27-N27</f>
        <v>0.0354166666666667</v>
      </c>
      <c r="R27" s="25"/>
      <c r="S27" s="25" t="s">
        <v>24</v>
      </c>
      <c r="T27" s="25">
        <v>212</v>
      </c>
      <c r="U27" s="40">
        <v>0.61875</v>
      </c>
      <c r="V27" s="27">
        <v>0.680555555555555</v>
      </c>
      <c r="W27" s="27">
        <f>V27-U27</f>
        <v>0.0618055555555554</v>
      </c>
      <c r="X27" s="25" t="s">
        <v>28</v>
      </c>
      <c r="Y27" s="19">
        <v>0.684027777777778</v>
      </c>
      <c r="Z27" s="18" t="s">
        <v>21</v>
      </c>
      <c r="AA27" s="25">
        <v>180</v>
      </c>
      <c r="AB27" s="27">
        <f>MOD((Y27-B27),1)</f>
        <v>0.329861111111111</v>
      </c>
      <c r="AC27" s="19">
        <f>G27+O27+W27</f>
        <v>0.258888888888888</v>
      </c>
      <c r="AD27" s="19">
        <f>I27+Q27</f>
        <v>0.0562500000000007</v>
      </c>
      <c r="AE27" s="27"/>
      <c r="AF27" s="25"/>
    </row>
    <row r="28" s="4" customFormat="1" ht="21.95" customHeight="1" spans="1:36">
      <c r="A28" s="31">
        <v>21</v>
      </c>
      <c r="B28" s="32">
        <f>E28-TIME(0,15,0)</f>
        <v>0.40625</v>
      </c>
      <c r="C28" s="37" t="s">
        <v>26</v>
      </c>
      <c r="D28" s="37">
        <v>215</v>
      </c>
      <c r="E28" s="36">
        <v>0.416666666666667</v>
      </c>
      <c r="F28" s="42">
        <v>0.474305555555556</v>
      </c>
      <c r="G28" s="36">
        <f>F28-E28</f>
        <v>0.0576388888888889</v>
      </c>
      <c r="H28" s="36"/>
      <c r="I28" s="32">
        <f>M28-F28</f>
        <v>0.0230555555555558</v>
      </c>
      <c r="J28" s="37"/>
      <c r="K28" s="43"/>
      <c r="L28" s="37">
        <v>212</v>
      </c>
      <c r="M28" s="36">
        <v>0.497361111111111</v>
      </c>
      <c r="N28" s="36">
        <v>0.594583333333339</v>
      </c>
      <c r="O28" s="36">
        <f>N28-M28</f>
        <v>0.0972222222222276</v>
      </c>
      <c r="P28" s="43"/>
      <c r="Q28" s="32">
        <f>U28-N28</f>
        <v>0.0283333333333278</v>
      </c>
      <c r="R28" s="37"/>
      <c r="S28" s="37" t="s">
        <v>24</v>
      </c>
      <c r="T28" s="37">
        <v>202</v>
      </c>
      <c r="U28" s="42">
        <v>0.622916666666667</v>
      </c>
      <c r="V28" s="36">
        <v>0.700138888888888</v>
      </c>
      <c r="W28" s="36">
        <f>V28-U28</f>
        <v>0.0772222222222212</v>
      </c>
      <c r="X28" s="43"/>
      <c r="Y28" s="32">
        <v>0.704861111111111</v>
      </c>
      <c r="Z28" s="37" t="s">
        <v>19</v>
      </c>
      <c r="AA28" s="37">
        <v>139</v>
      </c>
      <c r="AB28" s="36">
        <f>MOD((Y28-B28),1)</f>
        <v>0.298611111111111</v>
      </c>
      <c r="AC28" s="32">
        <f>G28+O28+W28</f>
        <v>0.232083333333338</v>
      </c>
      <c r="AD28" s="32">
        <f>I28+Q28</f>
        <v>0.0513888888888835</v>
      </c>
      <c r="AE28" s="36"/>
      <c r="AF28" s="37"/>
    </row>
    <row r="29" s="3" customFormat="1" ht="21.95" customHeight="1" spans="1:36">
      <c r="A29" s="18">
        <v>22</v>
      </c>
      <c r="B29" s="19">
        <f>E29-TIME(0,15,0)</f>
        <v>0.427083333333333</v>
      </c>
      <c r="C29" s="18" t="s">
        <v>26</v>
      </c>
      <c r="D29" s="25">
        <v>216</v>
      </c>
      <c r="E29" s="27">
        <v>0.4375</v>
      </c>
      <c r="F29" s="40">
        <v>0.502083333333333</v>
      </c>
      <c r="G29" s="27">
        <f>F29-E29</f>
        <v>0.0645833333333333</v>
      </c>
      <c r="H29" s="27"/>
      <c r="I29" s="19">
        <f>M29-F29</f>
        <v>0.0263888888888889</v>
      </c>
      <c r="J29" s="118"/>
      <c r="K29" s="27" t="s">
        <v>24</v>
      </c>
      <c r="L29" s="25">
        <v>217</v>
      </c>
      <c r="M29" s="40">
        <v>0.528472222222222</v>
      </c>
      <c r="N29" s="27">
        <v>0.605694444444451</v>
      </c>
      <c r="O29" s="27">
        <f>N29-M29</f>
        <v>0.0772222222222286</v>
      </c>
      <c r="P29" s="41"/>
      <c r="Q29" s="19">
        <f>U29-N29</f>
        <v>0.0222222222222155</v>
      </c>
      <c r="R29" s="118"/>
      <c r="S29" s="41"/>
      <c r="T29" s="25">
        <v>205</v>
      </c>
      <c r="U29" s="27">
        <v>0.627916666666666</v>
      </c>
      <c r="V29" s="27">
        <v>0.727916666666666</v>
      </c>
      <c r="W29" s="27">
        <f>V29-U29</f>
        <v>0.0999999999999995</v>
      </c>
      <c r="X29" s="41"/>
      <c r="Y29" s="19">
        <v>0.732638888888889</v>
      </c>
      <c r="Z29" s="25" t="s">
        <v>19</v>
      </c>
      <c r="AA29" s="25">
        <v>139</v>
      </c>
      <c r="AB29" s="27">
        <f>MOD((Y29-B29),1)</f>
        <v>0.305555555555556</v>
      </c>
      <c r="AC29" s="19">
        <f>G29+O29+W29</f>
        <v>0.241805555555561</v>
      </c>
      <c r="AD29" s="19">
        <f>I29+Q29</f>
        <v>0.0486111111111044</v>
      </c>
      <c r="AE29" s="27"/>
      <c r="AF29" s="25"/>
    </row>
    <row r="30" s="4" customFormat="1" ht="21.95" customHeight="1" spans="1:36">
      <c r="A30" s="31"/>
      <c r="B30" s="32"/>
      <c r="C30" s="31"/>
      <c r="D30" s="37"/>
      <c r="E30" s="36"/>
      <c r="F30" s="42"/>
      <c r="G30" s="36"/>
      <c r="H30" s="36"/>
      <c r="I30" s="32"/>
      <c r="J30" s="119"/>
      <c r="K30" s="36"/>
      <c r="L30" s="37"/>
      <c r="M30" s="42"/>
      <c r="N30" s="36"/>
      <c r="O30" s="36"/>
      <c r="P30" s="43"/>
      <c r="Q30" s="32"/>
      <c r="R30" s="119"/>
      <c r="S30" s="43"/>
      <c r="T30" s="37"/>
      <c r="U30" s="36"/>
      <c r="V30" s="36"/>
      <c r="W30" s="36"/>
      <c r="X30" s="43"/>
      <c r="Y30" s="32"/>
      <c r="Z30" s="37"/>
      <c r="AA30" s="37"/>
      <c r="AB30" s="36"/>
      <c r="AC30" s="32"/>
      <c r="AD30" s="32"/>
      <c r="AE30" s="36"/>
      <c r="AF30" s="37"/>
    </row>
    <row r="31" s="3" customFormat="1" ht="21.95" customHeight="1" spans="1:36">
      <c r="A31" s="18">
        <v>23</v>
      </c>
      <c r="B31" s="19">
        <f>E31-TIME(0,15,0)</f>
        <v>0.458333333333333</v>
      </c>
      <c r="C31" s="25" t="s">
        <v>26</v>
      </c>
      <c r="D31" s="25">
        <v>217</v>
      </c>
      <c r="E31" s="27">
        <v>0.46875</v>
      </c>
      <c r="F31" s="40">
        <v>0.529861111111111</v>
      </c>
      <c r="G31" s="27">
        <f>F31-E31</f>
        <v>0.0611111111111111</v>
      </c>
      <c r="H31" s="27"/>
      <c r="I31" s="19">
        <f>M31-F31</f>
        <v>0.014722222222222</v>
      </c>
      <c r="J31" s="25"/>
      <c r="K31" s="41"/>
      <c r="L31" s="25">
        <v>214</v>
      </c>
      <c r="M31" s="27">
        <v>0.544583333333333</v>
      </c>
      <c r="N31" s="27">
        <v>0.644444444444444</v>
      </c>
      <c r="O31" s="27">
        <f>N31-M31</f>
        <v>0.0998611111111114</v>
      </c>
      <c r="P31" s="41"/>
      <c r="Q31" s="19">
        <f>U31-N31</f>
        <v>0.0279166666666664</v>
      </c>
      <c r="R31" s="25"/>
      <c r="S31" s="41"/>
      <c r="T31" s="25">
        <v>209</v>
      </c>
      <c r="U31" s="27">
        <v>0.672361111111111</v>
      </c>
      <c r="V31" s="27">
        <v>0.772361111111111</v>
      </c>
      <c r="W31" s="27">
        <f>V31-U31</f>
        <v>0.1</v>
      </c>
      <c r="X31" s="41"/>
      <c r="Y31" s="19">
        <v>0.777777777777778</v>
      </c>
      <c r="Z31" s="25" t="s">
        <v>19</v>
      </c>
      <c r="AA31" s="25">
        <v>152</v>
      </c>
      <c r="AB31" s="27">
        <f>MOD((Y31-B31),1)</f>
        <v>0.319444444444444</v>
      </c>
      <c r="AC31" s="19">
        <f>G31+O31+W31</f>
        <v>0.260972222222222</v>
      </c>
      <c r="AD31" s="19">
        <f>I31+Q31</f>
        <v>0.0426388888888883</v>
      </c>
      <c r="AE31" s="27"/>
      <c r="AF31" s="25"/>
    </row>
    <row r="32" s="4" customFormat="1" ht="21.95" customHeight="1" spans="1:36">
      <c r="A32" s="31">
        <v>24</v>
      </c>
      <c r="B32" s="32">
        <f>E32-TIME(0,15,0)</f>
        <v>0.5</v>
      </c>
      <c r="C32" s="37" t="s">
        <v>31</v>
      </c>
      <c r="D32" s="37">
        <v>218</v>
      </c>
      <c r="E32" s="36">
        <v>0.510416666666667</v>
      </c>
      <c r="F32" s="42">
        <v>0.557638888888889</v>
      </c>
      <c r="G32" s="36">
        <f>F32-E32</f>
        <v>0.0472222222222223</v>
      </c>
      <c r="H32" s="37"/>
      <c r="I32" s="32">
        <f>M32-F32</f>
        <v>0.03125</v>
      </c>
      <c r="J32" s="37"/>
      <c r="K32" s="37"/>
      <c r="L32" s="37">
        <v>211</v>
      </c>
      <c r="M32" s="34">
        <v>0.588888888888889</v>
      </c>
      <c r="N32" s="34">
        <v>0.688888888888889</v>
      </c>
      <c r="O32" s="36">
        <f>N32-M32</f>
        <v>0.1</v>
      </c>
      <c r="P32" s="37"/>
      <c r="Q32" s="32">
        <f>U32-N32</f>
        <v>0.0333333333333332</v>
      </c>
      <c r="R32" s="37"/>
      <c r="S32" s="37"/>
      <c r="T32" s="37">
        <v>213</v>
      </c>
      <c r="U32" s="36">
        <v>0.722222222222222</v>
      </c>
      <c r="V32" s="36">
        <v>0.822222222222222</v>
      </c>
      <c r="W32" s="36">
        <f>V32-U32</f>
        <v>0.1</v>
      </c>
      <c r="X32" s="37"/>
      <c r="Y32" s="32">
        <v>0.826388888888889</v>
      </c>
      <c r="Z32" s="37" t="s">
        <v>19</v>
      </c>
      <c r="AA32" s="37">
        <v>140</v>
      </c>
      <c r="AB32" s="36">
        <f>MOD((Y32-B32),1)</f>
        <v>0.326388888888889</v>
      </c>
      <c r="AC32" s="32">
        <f>G32+O32+W32</f>
        <v>0.247222222222222</v>
      </c>
      <c r="AD32" s="32">
        <f>I32+Q32</f>
        <v>0.0645833333333332</v>
      </c>
      <c r="AE32" s="36"/>
      <c r="AF32" s="37"/>
    </row>
    <row r="33" s="3" customFormat="1" ht="21.95" customHeight="1" spans="1:32">
      <c r="A33" s="18">
        <v>25</v>
      </c>
      <c r="B33" s="19">
        <v>0.5625</v>
      </c>
      <c r="C33" s="25" t="s">
        <v>24</v>
      </c>
      <c r="D33" s="25">
        <v>215</v>
      </c>
      <c r="E33" s="40">
        <v>0.572916666666667</v>
      </c>
      <c r="F33" s="27">
        <v>0.650138888888889</v>
      </c>
      <c r="G33" s="27">
        <f>F33-E33</f>
        <v>0.0772222222222223</v>
      </c>
      <c r="H33" s="26"/>
      <c r="I33" s="19">
        <f>M33-F33</f>
        <v>0.0609722222222222</v>
      </c>
      <c r="J33" s="26"/>
      <c r="K33" s="26"/>
      <c r="L33" s="25">
        <v>203</v>
      </c>
      <c r="M33" s="27">
        <v>0.711111111111111</v>
      </c>
      <c r="N33" s="27">
        <v>0.811111111111111</v>
      </c>
      <c r="O33" s="27">
        <f>N33-M33</f>
        <v>0.0999999999999999</v>
      </c>
      <c r="P33" s="27"/>
      <c r="Q33" s="19">
        <f>U33-N33</f>
        <v>0.0223611111111109</v>
      </c>
      <c r="R33" s="25"/>
      <c r="S33" s="25"/>
      <c r="T33" s="25">
        <v>218</v>
      </c>
      <c r="U33" s="27">
        <v>0.833472222222222</v>
      </c>
      <c r="V33" s="27">
        <v>0.881944444444445</v>
      </c>
      <c r="W33" s="27">
        <f>V33-U33</f>
        <v>0.0484722222222226</v>
      </c>
      <c r="X33" s="25" t="s">
        <v>32</v>
      </c>
      <c r="Y33" s="19">
        <v>0.885416666666667</v>
      </c>
      <c r="Z33" s="25" t="s">
        <v>26</v>
      </c>
      <c r="AA33" s="25">
        <v>139</v>
      </c>
      <c r="AB33" s="27">
        <f>MOD((Y33-B33),1)</f>
        <v>0.322916666666667</v>
      </c>
      <c r="AC33" s="19">
        <f>G33+O33+W33</f>
        <v>0.225694444444445</v>
      </c>
      <c r="AD33" s="19">
        <f>I33+Q33</f>
        <v>0.0833333333333331</v>
      </c>
      <c r="AE33" s="27"/>
      <c r="AF33" s="25"/>
    </row>
    <row r="34" s="4" customFormat="1" ht="21.95" customHeight="1" spans="1:32">
      <c r="A34" s="31">
        <v>26</v>
      </c>
      <c r="B34" s="32">
        <v>0.5625</v>
      </c>
      <c r="C34" s="111" t="s">
        <v>19</v>
      </c>
      <c r="D34" s="37">
        <v>209</v>
      </c>
      <c r="E34" s="36">
        <v>0.572361111111114</v>
      </c>
      <c r="F34" s="36">
        <v>0.672361111111111</v>
      </c>
      <c r="G34" s="36">
        <f>F34-E34</f>
        <v>0.099999999999997</v>
      </c>
      <c r="H34" s="43"/>
      <c r="I34" s="32">
        <f>M34-F34</f>
        <v>0.0450000000000002</v>
      </c>
      <c r="J34" s="37"/>
      <c r="K34" s="37" t="s">
        <v>24</v>
      </c>
      <c r="L34" s="37">
        <v>212</v>
      </c>
      <c r="M34" s="42">
        <v>0.717361111111111</v>
      </c>
      <c r="N34" s="36">
        <v>0.794583333333333</v>
      </c>
      <c r="O34" s="36">
        <f>N34-M34</f>
        <v>0.0772222222222219</v>
      </c>
      <c r="P34" s="37"/>
      <c r="Q34" s="32">
        <f>U34-N34</f>
        <v>0.022222222222222</v>
      </c>
      <c r="R34" s="37"/>
      <c r="S34" s="37"/>
      <c r="T34" s="37">
        <v>204</v>
      </c>
      <c r="U34" s="36">
        <v>0.816805555555555</v>
      </c>
      <c r="V34" s="36">
        <v>0.890277777777778</v>
      </c>
      <c r="W34" s="36">
        <f>V34-U34</f>
        <v>0.0734722222222229</v>
      </c>
      <c r="X34" s="37" t="s">
        <v>29</v>
      </c>
      <c r="Y34" s="32">
        <f>B34+TIME(8,0,0)</f>
        <v>0.895833333333333</v>
      </c>
      <c r="Z34" s="37" t="s">
        <v>33</v>
      </c>
      <c r="AA34" s="37">
        <v>170</v>
      </c>
      <c r="AB34" s="36">
        <f>MOD((Y34-B34),1)</f>
        <v>0.333333333333333</v>
      </c>
      <c r="AC34" s="32">
        <f>G34+O34+W34</f>
        <v>0.250694444444442</v>
      </c>
      <c r="AD34" s="32">
        <f>I34+Q34</f>
        <v>0.0672222222222222</v>
      </c>
      <c r="AE34" s="36"/>
      <c r="AF34" s="37"/>
    </row>
    <row r="35" s="3" customFormat="1" ht="21.95" customHeight="1" spans="1:32">
      <c r="A35" s="18">
        <v>27</v>
      </c>
      <c r="B35" s="19">
        <v>0.569444444444444</v>
      </c>
      <c r="C35" s="25" t="s">
        <v>24</v>
      </c>
      <c r="D35" s="25">
        <v>201</v>
      </c>
      <c r="E35" s="40">
        <v>0.578472222222222</v>
      </c>
      <c r="F35" s="27">
        <v>0.655694444444444</v>
      </c>
      <c r="G35" s="27">
        <f>F35-E35</f>
        <v>0.0772222222222217</v>
      </c>
      <c r="H35" s="25"/>
      <c r="I35" s="19">
        <f>M35-F35</f>
        <v>0.022222222222222</v>
      </c>
      <c r="J35" s="25"/>
      <c r="K35" s="25"/>
      <c r="L35" s="25">
        <v>216</v>
      </c>
      <c r="M35" s="27">
        <v>0.677916666666666</v>
      </c>
      <c r="N35" s="27">
        <v>0.777916666666666</v>
      </c>
      <c r="O35" s="27">
        <f>N35-M35</f>
        <v>0.1</v>
      </c>
      <c r="P35" s="25"/>
      <c r="Q35" s="19">
        <f>U35-N35</f>
        <v>0.0222222222222226</v>
      </c>
      <c r="R35" s="25"/>
      <c r="S35" s="25"/>
      <c r="T35" s="25">
        <v>202</v>
      </c>
      <c r="U35" s="27">
        <v>0.800138888888889</v>
      </c>
      <c r="V35" s="27">
        <v>0.900138888888888</v>
      </c>
      <c r="W35" s="27">
        <f>V35-U35</f>
        <v>0.099999999999999</v>
      </c>
      <c r="X35" s="25"/>
      <c r="Y35" s="19">
        <v>0.902777777777778</v>
      </c>
      <c r="Z35" s="25" t="s">
        <v>19</v>
      </c>
      <c r="AA35" s="25">
        <v>191</v>
      </c>
      <c r="AB35" s="27">
        <f>MOD((Y35-B35),1)</f>
        <v>0.333333333333333</v>
      </c>
      <c r="AC35" s="19">
        <f>G35+O35+W35</f>
        <v>0.277222222222221</v>
      </c>
      <c r="AD35" s="19">
        <f>I35+Q35</f>
        <v>0.0444444444444446</v>
      </c>
      <c r="AE35" s="27"/>
      <c r="AF35" s="25"/>
    </row>
    <row r="36" s="4" customFormat="1" ht="21.95" customHeight="1" spans="1:32">
      <c r="A36" s="31">
        <v>28</v>
      </c>
      <c r="B36" s="32">
        <v>0.576388888888889</v>
      </c>
      <c r="C36" s="37" t="s">
        <v>24</v>
      </c>
      <c r="D36" s="37">
        <v>207</v>
      </c>
      <c r="E36" s="42">
        <v>0.584027777777778</v>
      </c>
      <c r="F36" s="34">
        <v>0.661111111111111</v>
      </c>
      <c r="G36" s="36">
        <f>F36-E36</f>
        <v>0.0770833333333333</v>
      </c>
      <c r="H36" s="43"/>
      <c r="I36" s="32">
        <f>M36-F36</f>
        <v>0.0451388888888888</v>
      </c>
      <c r="J36" s="37"/>
      <c r="K36" s="36" t="s">
        <v>24</v>
      </c>
      <c r="L36" s="37">
        <v>210</v>
      </c>
      <c r="M36" s="42">
        <v>0.70625</v>
      </c>
      <c r="N36" s="36">
        <v>0.783472222222222</v>
      </c>
      <c r="O36" s="36">
        <f>N36-M36</f>
        <v>0.077222222222222</v>
      </c>
      <c r="P36" s="37"/>
      <c r="Q36" s="32">
        <f>U36-N36</f>
        <v>0.022222222222222</v>
      </c>
      <c r="R36" s="37"/>
      <c r="S36" s="37"/>
      <c r="T36" s="37">
        <v>217</v>
      </c>
      <c r="U36" s="36">
        <v>0.805694444444444</v>
      </c>
      <c r="V36" s="36">
        <v>0.905694444444444</v>
      </c>
      <c r="W36" s="36">
        <f>V36-U36</f>
        <v>0.1</v>
      </c>
      <c r="X36" s="37"/>
      <c r="Y36" s="32">
        <v>0.909722222222222</v>
      </c>
      <c r="Z36" s="37" t="s">
        <v>19</v>
      </c>
      <c r="AA36" s="37">
        <v>178</v>
      </c>
      <c r="AB36" s="36">
        <f>MOD((Y36-B36),1)</f>
        <v>0.333333333333333</v>
      </c>
      <c r="AC36" s="32">
        <f>G36+O36+W36</f>
        <v>0.254305555555555</v>
      </c>
      <c r="AD36" s="32">
        <f>I36+Q36</f>
        <v>0.0673611111111109</v>
      </c>
      <c r="AE36" s="36"/>
      <c r="AF36" s="37"/>
    </row>
    <row r="37" s="3" customFormat="1" ht="21.95" customHeight="1" spans="1:32">
      <c r="A37" s="18">
        <v>29</v>
      </c>
      <c r="B37" s="19">
        <v>0.579861111111111</v>
      </c>
      <c r="C37" s="25" t="s">
        <v>24</v>
      </c>
      <c r="D37" s="25">
        <v>208</v>
      </c>
      <c r="E37" s="40">
        <v>0.589583333333333</v>
      </c>
      <c r="F37" s="24">
        <v>0.666666666666667</v>
      </c>
      <c r="G37" s="27">
        <f>F37-E37</f>
        <v>0.0770833333333333</v>
      </c>
      <c r="H37" s="41"/>
      <c r="I37" s="19">
        <f>M37-F37</f>
        <v>0.0223611111111103</v>
      </c>
      <c r="J37" s="41"/>
      <c r="K37" s="41"/>
      <c r="L37" s="25">
        <v>211</v>
      </c>
      <c r="M37" s="27">
        <v>0.689027777777777</v>
      </c>
      <c r="N37" s="27">
        <v>0.789027777777778</v>
      </c>
      <c r="O37" s="27">
        <f>N37-M37</f>
        <v>0.100000000000001</v>
      </c>
      <c r="P37" s="27"/>
      <c r="Q37" s="19">
        <f>U37-N37</f>
        <v>0.022222222222222</v>
      </c>
      <c r="R37" s="25"/>
      <c r="S37" s="25"/>
      <c r="T37" s="25">
        <v>203</v>
      </c>
      <c r="U37" s="27">
        <v>0.81125</v>
      </c>
      <c r="V37" s="27">
        <v>0.897222222222222</v>
      </c>
      <c r="W37" s="27">
        <f>V37-U37</f>
        <v>0.0859722222222223</v>
      </c>
      <c r="X37" s="25" t="s">
        <v>28</v>
      </c>
      <c r="Y37" s="19">
        <f>B37+TIME(8,0,0)</f>
        <v>0.913194444444444</v>
      </c>
      <c r="Z37" s="18" t="s">
        <v>21</v>
      </c>
      <c r="AA37" s="25">
        <v>180</v>
      </c>
      <c r="AB37" s="27">
        <f>MOD((Y37-B37),1)</f>
        <v>0.333333333333333</v>
      </c>
      <c r="AC37" s="19">
        <f>G37+O37+W37</f>
        <v>0.263055555555557</v>
      </c>
      <c r="AD37" s="19">
        <f>I37+Q37</f>
        <v>0.0445833333333323</v>
      </c>
      <c r="AE37" s="27"/>
      <c r="AF37" s="25"/>
    </row>
    <row r="38" s="4" customFormat="1" ht="21.95" customHeight="1" spans="1:32">
      <c r="A38" s="31">
        <v>30</v>
      </c>
      <c r="B38" s="32">
        <v>0.572916666666667</v>
      </c>
      <c r="C38" s="120" t="s">
        <v>19</v>
      </c>
      <c r="D38" s="33" t="s">
        <v>22</v>
      </c>
      <c r="E38" s="121"/>
      <c r="F38" s="34"/>
      <c r="G38" s="36"/>
      <c r="H38" s="37"/>
      <c r="I38" s="32"/>
      <c r="J38" s="37"/>
      <c r="K38" s="37"/>
      <c r="L38" s="33" t="s">
        <v>22</v>
      </c>
      <c r="M38" s="36"/>
      <c r="N38" s="36"/>
      <c r="O38" s="36"/>
      <c r="P38" s="37"/>
      <c r="Q38" s="36"/>
      <c r="R38" s="37"/>
      <c r="S38" s="37"/>
      <c r="T38" s="33" t="s">
        <v>22</v>
      </c>
      <c r="U38" s="36"/>
      <c r="V38" s="42"/>
      <c r="W38" s="36"/>
      <c r="X38" s="37"/>
      <c r="Y38" s="34">
        <v>0.90625</v>
      </c>
      <c r="Z38" s="37" t="s">
        <v>19</v>
      </c>
      <c r="AA38" s="36"/>
      <c r="AB38" s="36">
        <f>MOD((Y38-B38),1)</f>
        <v>0.333333333333333</v>
      </c>
      <c r="AC38" s="32"/>
      <c r="AD38" s="32"/>
      <c r="AE38" s="43"/>
      <c r="AF38" s="43"/>
    </row>
    <row r="39" s="3" customFormat="1" ht="21.95" customHeight="1" spans="1:32">
      <c r="A39" s="18"/>
      <c r="B39" s="19"/>
      <c r="C39" s="45"/>
      <c r="D39" s="122"/>
      <c r="E39" s="123"/>
      <c r="F39" s="24"/>
      <c r="G39" s="27"/>
      <c r="H39" s="25"/>
      <c r="I39" s="19"/>
      <c r="J39" s="25"/>
      <c r="K39" s="25"/>
      <c r="L39" s="122"/>
      <c r="M39" s="27"/>
      <c r="N39" s="27"/>
      <c r="O39" s="27"/>
      <c r="P39" s="25"/>
      <c r="Q39" s="27"/>
      <c r="R39" s="25"/>
      <c r="S39" s="25"/>
      <c r="T39" s="122"/>
      <c r="U39" s="27"/>
      <c r="V39" s="40"/>
      <c r="W39" s="27"/>
      <c r="X39" s="25"/>
      <c r="Y39" s="24"/>
      <c r="Z39" s="25"/>
      <c r="AA39" s="27"/>
      <c r="AB39" s="27"/>
      <c r="AC39" s="19"/>
      <c r="AD39" s="19"/>
      <c r="AE39" s="41"/>
      <c r="AF39" s="41"/>
    </row>
    <row r="40" s="4" customFormat="1" ht="21.95" customHeight="1" spans="1:32">
      <c r="A40" s="31">
        <v>31</v>
      </c>
      <c r="B40" s="32">
        <v>0.583333333333333</v>
      </c>
      <c r="C40" s="31" t="s">
        <v>21</v>
      </c>
      <c r="D40" s="124" t="s">
        <v>34</v>
      </c>
      <c r="E40" s="37"/>
      <c r="F40" s="37"/>
      <c r="G40" s="36"/>
      <c r="H40" s="36"/>
      <c r="I40" s="32"/>
      <c r="J40" s="37"/>
      <c r="K40" s="37"/>
      <c r="L40" s="124" t="s">
        <v>34</v>
      </c>
      <c r="M40" s="36"/>
      <c r="N40" s="36"/>
      <c r="O40" s="36"/>
      <c r="P40" s="37"/>
      <c r="Q40" s="36"/>
      <c r="R40" s="37"/>
      <c r="S40" s="119"/>
      <c r="T40" s="124" t="s">
        <v>34</v>
      </c>
      <c r="U40" s="36"/>
      <c r="V40" s="42"/>
      <c r="W40" s="36"/>
      <c r="X40" s="37"/>
      <c r="Y40" s="34">
        <v>0.916666666666667</v>
      </c>
      <c r="Z40" s="37" t="s">
        <v>19</v>
      </c>
      <c r="AA40" s="36"/>
      <c r="AB40" s="36">
        <f>MOD((Y40-B40),1)</f>
        <v>0.333333333333333</v>
      </c>
      <c r="AC40" s="32"/>
      <c r="AD40" s="32"/>
      <c r="AE40" s="43"/>
      <c r="AF40" s="43"/>
    </row>
    <row r="41" s="3" customFormat="1" ht="21.95" customHeight="1" spans="1:32">
      <c r="A41" s="111">
        <v>32</v>
      </c>
      <c r="B41" s="19">
        <v>0.583333333333333</v>
      </c>
      <c r="C41" s="18" t="s">
        <v>19</v>
      </c>
      <c r="D41" s="118" t="s">
        <v>35</v>
      </c>
      <c r="E41" s="24">
        <v>0.586805555555556</v>
      </c>
      <c r="F41" s="24">
        <v>0.684027777777778</v>
      </c>
      <c r="G41" s="40">
        <f>F41-E41</f>
        <v>0.0972222222222222</v>
      </c>
      <c r="H41" s="41"/>
      <c r="I41" s="19">
        <f>M41-F41</f>
        <v>0.0215277777777778</v>
      </c>
      <c r="J41" s="41"/>
      <c r="K41" s="41"/>
      <c r="L41" s="25">
        <v>217</v>
      </c>
      <c r="M41" s="27">
        <v>0.705555555555556</v>
      </c>
      <c r="N41" s="27">
        <v>0.805555555555555</v>
      </c>
      <c r="O41" s="27">
        <f>N41-M41</f>
        <v>0.0999999999999999</v>
      </c>
      <c r="P41" s="41"/>
      <c r="Q41" s="19">
        <f>U41-N41</f>
        <v>0.0223611111111104</v>
      </c>
      <c r="R41" s="25"/>
      <c r="S41" s="25"/>
      <c r="T41" s="25">
        <v>205</v>
      </c>
      <c r="U41" s="27">
        <v>0.827916666666666</v>
      </c>
      <c r="V41" s="27">
        <v>0.901388888888889</v>
      </c>
      <c r="W41" s="27">
        <f>V41-U41</f>
        <v>0.073472222222223</v>
      </c>
      <c r="X41" s="27" t="s">
        <v>29</v>
      </c>
      <c r="Y41" s="19">
        <f>B41+TIME(8,0,0)</f>
        <v>0.916666666666667</v>
      </c>
      <c r="Z41" s="25" t="s">
        <v>33</v>
      </c>
      <c r="AA41" s="25">
        <v>115</v>
      </c>
      <c r="AB41" s="27">
        <f>MOD((Y41-B41),1)</f>
        <v>0.333333333333333</v>
      </c>
      <c r="AC41" s="19">
        <f>G41+O41+W41</f>
        <v>0.270694444444445</v>
      </c>
      <c r="AD41" s="19">
        <f>I41+Q41</f>
        <v>0.0438888888888882</v>
      </c>
      <c r="AE41" s="27"/>
      <c r="AF41" s="25"/>
    </row>
    <row r="42" s="4" customFormat="1" ht="21.95" customHeight="1" spans="1:32">
      <c r="A42" s="31">
        <v>33</v>
      </c>
      <c r="B42" s="32">
        <v>0.59375</v>
      </c>
      <c r="C42" s="31" t="s">
        <v>19</v>
      </c>
      <c r="D42" s="37">
        <v>217</v>
      </c>
      <c r="E42" s="36">
        <v>0.605694444444451</v>
      </c>
      <c r="F42" s="36">
        <v>0.705694444444444</v>
      </c>
      <c r="G42" s="36">
        <f>F42-E42</f>
        <v>0.0999999999999931</v>
      </c>
      <c r="H42" s="36"/>
      <c r="I42" s="32">
        <f>M42-F42</f>
        <v>0.0277777777777769</v>
      </c>
      <c r="J42" s="37"/>
      <c r="K42" s="37"/>
      <c r="L42" s="37">
        <v>218</v>
      </c>
      <c r="M42" s="36">
        <v>0.733472222222221</v>
      </c>
      <c r="N42" s="36">
        <v>0.833472222222222</v>
      </c>
      <c r="O42" s="36">
        <f>N42-M42</f>
        <v>0.100000000000001</v>
      </c>
      <c r="P42" s="37"/>
      <c r="Q42" s="32">
        <f>U42-N42</f>
        <v>0.0166666666666659</v>
      </c>
      <c r="R42" s="37"/>
      <c r="S42" s="37"/>
      <c r="T42" s="37">
        <v>215</v>
      </c>
      <c r="U42" s="36">
        <v>0.850138888888888</v>
      </c>
      <c r="V42" s="42">
        <v>0.899305555555555</v>
      </c>
      <c r="W42" s="36">
        <f>V42-U42</f>
        <v>0.0491666666666676</v>
      </c>
      <c r="X42" s="36" t="s">
        <v>36</v>
      </c>
      <c r="Y42" s="32">
        <v>0.902777777777778</v>
      </c>
      <c r="Z42" s="37" t="s">
        <v>33</v>
      </c>
      <c r="AA42" s="37">
        <v>170</v>
      </c>
      <c r="AB42" s="36">
        <f>MOD((Y42-B42),1)</f>
        <v>0.309027777777778</v>
      </c>
      <c r="AC42" s="32">
        <f>G42+O42+W42</f>
        <v>0.249166666666662</v>
      </c>
      <c r="AD42" s="32">
        <f>I42+Q42</f>
        <v>0.0444444444444428</v>
      </c>
      <c r="AE42" s="36"/>
      <c r="AF42" s="37"/>
    </row>
    <row r="43" s="3" customFormat="1" ht="21.95" customHeight="1" spans="1:32">
      <c r="A43" s="18">
        <v>34</v>
      </c>
      <c r="B43" s="19">
        <f>E43-TIME(0,15,0)</f>
        <v>0.600833333333341</v>
      </c>
      <c r="C43" s="18" t="s">
        <v>19</v>
      </c>
      <c r="D43" s="25">
        <v>203</v>
      </c>
      <c r="E43" s="27">
        <v>0.611250000000008</v>
      </c>
      <c r="F43" s="27">
        <v>0.711249999999999</v>
      </c>
      <c r="G43" s="27">
        <f>F43-E43</f>
        <v>0.099999999999991</v>
      </c>
      <c r="H43" s="27"/>
      <c r="I43" s="19">
        <f>M43-F43</f>
        <v>0.027777777777778</v>
      </c>
      <c r="J43" s="25"/>
      <c r="K43" s="25"/>
      <c r="L43" s="25">
        <v>206</v>
      </c>
      <c r="M43" s="27">
        <v>0.739027777777777</v>
      </c>
      <c r="N43" s="27">
        <v>0.839027777777777</v>
      </c>
      <c r="O43" s="27">
        <f>N43-M43</f>
        <v>0.1</v>
      </c>
      <c r="P43" s="25"/>
      <c r="Q43" s="19">
        <f>U43-N43</f>
        <v>0.0166666666666669</v>
      </c>
      <c r="R43" s="25"/>
      <c r="S43" s="25"/>
      <c r="T43" s="25">
        <v>201</v>
      </c>
      <c r="U43" s="27">
        <v>0.855694444444444</v>
      </c>
      <c r="V43" s="40">
        <v>0.90625</v>
      </c>
      <c r="W43" s="27">
        <f>V43-U43</f>
        <v>0.0505555555555561</v>
      </c>
      <c r="X43" s="27" t="s">
        <v>36</v>
      </c>
      <c r="Y43" s="19">
        <v>0.909722222222222</v>
      </c>
      <c r="Z43" s="25" t="s">
        <v>33</v>
      </c>
      <c r="AA43" s="25">
        <v>170</v>
      </c>
      <c r="AB43" s="27">
        <f>MOD((Y43-B43),1)</f>
        <v>0.308888888888881</v>
      </c>
      <c r="AC43" s="19">
        <f>G43+O43+W43</f>
        <v>0.250555555555547</v>
      </c>
      <c r="AD43" s="19">
        <f>I43+Q43</f>
        <v>0.044444444444445</v>
      </c>
      <c r="AE43" s="27"/>
      <c r="AF43" s="25"/>
    </row>
    <row r="44" s="4" customFormat="1" ht="21.95" customHeight="1" spans="1:32">
      <c r="A44" s="31">
        <v>35</v>
      </c>
      <c r="B44" s="32">
        <v>0.604166666666667</v>
      </c>
      <c r="C44" s="31" t="s">
        <v>19</v>
      </c>
      <c r="D44" s="37">
        <v>204</v>
      </c>
      <c r="E44" s="36">
        <v>0.616805555555564</v>
      </c>
      <c r="F44" s="36">
        <v>0.716666666666667</v>
      </c>
      <c r="G44" s="36">
        <f>F44-E44</f>
        <v>0.0998611111111027</v>
      </c>
      <c r="H44" s="36"/>
      <c r="I44" s="32">
        <f>M44-F44</f>
        <v>0.0277777777777778</v>
      </c>
      <c r="J44" s="37"/>
      <c r="K44" s="43"/>
      <c r="L44" s="37">
        <v>214</v>
      </c>
      <c r="M44" s="34">
        <v>0.744444444444444</v>
      </c>
      <c r="N44" s="34">
        <v>0.844444444444444</v>
      </c>
      <c r="O44" s="36">
        <f>N44-M44</f>
        <v>0.1</v>
      </c>
      <c r="P44" s="43"/>
      <c r="Q44" s="32">
        <f>U44-N44</f>
        <v>0.0168055555555554</v>
      </c>
      <c r="R44" s="37"/>
      <c r="S44" s="43"/>
      <c r="T44" s="37">
        <v>207</v>
      </c>
      <c r="U44" s="36">
        <v>0.86125</v>
      </c>
      <c r="V44" s="36">
        <v>0.909722222222222</v>
      </c>
      <c r="W44" s="36">
        <f>V44-U44</f>
        <v>0.0484722222222224</v>
      </c>
      <c r="X44" s="37" t="s">
        <v>32</v>
      </c>
      <c r="Y44" s="32">
        <v>0.913194444444445</v>
      </c>
      <c r="Z44" s="37" t="s">
        <v>19</v>
      </c>
      <c r="AA44" s="37">
        <v>152</v>
      </c>
      <c r="AB44" s="36">
        <f>MOD((Y44-B44),1)</f>
        <v>0.309027777777778</v>
      </c>
      <c r="AC44" s="32">
        <f>G44+O44+W44</f>
        <v>0.248333333333325</v>
      </c>
      <c r="AD44" s="32">
        <f>I44+Q44</f>
        <v>0.0445833333333332</v>
      </c>
      <c r="AE44" s="36"/>
      <c r="AF44" s="37"/>
    </row>
    <row r="45" s="3" customFormat="1" ht="21.95" customHeight="1" spans="1:32">
      <c r="A45" s="18"/>
      <c r="B45" s="19"/>
      <c r="C45" s="18"/>
      <c r="D45" s="25"/>
      <c r="E45" s="27"/>
      <c r="F45" s="27"/>
      <c r="G45" s="27"/>
      <c r="H45" s="27"/>
      <c r="I45" s="19"/>
      <c r="J45" s="25"/>
      <c r="K45" s="41"/>
      <c r="L45" s="25"/>
      <c r="M45" s="24"/>
      <c r="N45" s="24"/>
      <c r="O45" s="27"/>
      <c r="P45" s="41"/>
      <c r="Q45" s="19"/>
      <c r="R45" s="25"/>
      <c r="S45" s="41"/>
      <c r="T45" s="25"/>
      <c r="U45" s="27"/>
      <c r="V45" s="27"/>
      <c r="W45" s="27"/>
      <c r="X45" s="25"/>
      <c r="Y45" s="19"/>
      <c r="Z45" s="25"/>
      <c r="AA45" s="25"/>
      <c r="AB45" s="27"/>
      <c r="AC45" s="19"/>
      <c r="AD45" s="19"/>
      <c r="AE45" s="27"/>
      <c r="AF45" s="25"/>
    </row>
    <row r="46" s="4" customFormat="1" ht="21.95" customHeight="1" spans="1:32">
      <c r="A46" s="109">
        <v>36</v>
      </c>
      <c r="B46" s="32">
        <v>0.604166666666667</v>
      </c>
      <c r="C46" s="37" t="s">
        <v>28</v>
      </c>
      <c r="D46" s="37">
        <v>205</v>
      </c>
      <c r="E46" s="34">
        <v>0.613888888888889</v>
      </c>
      <c r="F46" s="34">
        <v>0.627777777777778</v>
      </c>
      <c r="G46" s="36">
        <f>F46-E46</f>
        <v>0.013888888888889</v>
      </c>
      <c r="H46" s="43"/>
      <c r="I46" s="32">
        <f>M46-F46</f>
        <v>0.0168055555555552</v>
      </c>
      <c r="J46" s="43"/>
      <c r="K46" s="43"/>
      <c r="L46" s="37">
        <v>214</v>
      </c>
      <c r="M46" s="36">
        <v>0.644583333333333</v>
      </c>
      <c r="N46" s="36">
        <v>0.744583333333332</v>
      </c>
      <c r="O46" s="36">
        <f>N46-M46</f>
        <v>0.099999999999999</v>
      </c>
      <c r="P46" s="119"/>
      <c r="Q46" s="32">
        <f>U46-N46</f>
        <v>0.0277777777777789</v>
      </c>
      <c r="R46" s="37"/>
      <c r="S46" s="43"/>
      <c r="T46" s="37">
        <v>209</v>
      </c>
      <c r="U46" s="36">
        <v>0.772361111111111</v>
      </c>
      <c r="V46" s="36">
        <v>0.872361111111111</v>
      </c>
      <c r="W46" s="36">
        <f>V46-U46</f>
        <v>0.1</v>
      </c>
      <c r="X46" s="43"/>
      <c r="Y46" s="32">
        <v>0.875</v>
      </c>
      <c r="Z46" s="37" t="s">
        <v>19</v>
      </c>
      <c r="AA46" s="37">
        <v>147</v>
      </c>
      <c r="AB46" s="36">
        <f>MOD((Y46-B46),1)</f>
        <v>0.270833333333333</v>
      </c>
      <c r="AC46" s="32">
        <f>G46+O46+W46</f>
        <v>0.213888888888888</v>
      </c>
      <c r="AD46" s="32">
        <f>I46+Q46</f>
        <v>0.0445833333333341</v>
      </c>
      <c r="AE46" s="36"/>
      <c r="AF46" s="37"/>
    </row>
    <row r="47" s="3" customFormat="1" ht="21.95" customHeight="1" spans="1:32">
      <c r="A47" s="109">
        <v>37</v>
      </c>
      <c r="B47" s="19">
        <v>0.607638888888889</v>
      </c>
      <c r="C47" s="25" t="s">
        <v>28</v>
      </c>
      <c r="D47" s="45">
        <v>218</v>
      </c>
      <c r="E47" s="27">
        <v>0.619444444444444</v>
      </c>
      <c r="F47" s="27">
        <v>0.633333333333333</v>
      </c>
      <c r="G47" s="27">
        <f>F47-E47</f>
        <v>0.0138888888888888</v>
      </c>
      <c r="H47" s="41"/>
      <c r="I47" s="19">
        <f>M47-F47</f>
        <v>0.0223611111111106</v>
      </c>
      <c r="J47" s="41"/>
      <c r="K47" s="41"/>
      <c r="L47" s="25">
        <v>201</v>
      </c>
      <c r="M47" s="27">
        <v>0.655694444444444</v>
      </c>
      <c r="N47" s="27">
        <v>0.755694444444443</v>
      </c>
      <c r="O47" s="27">
        <f>N47-M47</f>
        <v>0.099999999999999</v>
      </c>
      <c r="P47" s="27"/>
      <c r="Q47" s="19">
        <f>U47-N47</f>
        <v>0.027777777777779</v>
      </c>
      <c r="R47" s="25"/>
      <c r="S47" s="25"/>
      <c r="T47" s="25">
        <v>210</v>
      </c>
      <c r="U47" s="27">
        <v>0.783472222222222</v>
      </c>
      <c r="V47" s="27">
        <v>0.883472222222222</v>
      </c>
      <c r="W47" s="27">
        <f>V47-U47</f>
        <v>0.1</v>
      </c>
      <c r="X47" s="25"/>
      <c r="Y47" s="19">
        <v>0.888888888888889</v>
      </c>
      <c r="Z47" s="25" t="s">
        <v>19</v>
      </c>
      <c r="AA47" s="25">
        <v>147</v>
      </c>
      <c r="AB47" s="27">
        <f>MOD((Y47-B47),1)</f>
        <v>0.28125</v>
      </c>
      <c r="AC47" s="19">
        <f>G47+O47+W47</f>
        <v>0.213888888888888</v>
      </c>
      <c r="AD47" s="19">
        <f>I47+Q47</f>
        <v>0.0501388888888896</v>
      </c>
      <c r="AE47" s="27"/>
      <c r="AF47" s="25"/>
    </row>
    <row r="48" s="4" customFormat="1" ht="21.95" customHeight="1" spans="1:32">
      <c r="A48" s="31">
        <v>38</v>
      </c>
      <c r="B48" s="32">
        <v>0.611111111111111</v>
      </c>
      <c r="C48" s="111" t="s">
        <v>19</v>
      </c>
      <c r="D48" s="37">
        <v>213</v>
      </c>
      <c r="E48" s="36">
        <v>0.62236111111112</v>
      </c>
      <c r="F48" s="36">
        <v>0.722222222222222</v>
      </c>
      <c r="G48" s="36">
        <f>F48-E48</f>
        <v>0.0998611111111023</v>
      </c>
      <c r="H48" s="37"/>
      <c r="I48" s="32">
        <f>M48-F48</f>
        <v>0.0279166666666657</v>
      </c>
      <c r="J48" s="37"/>
      <c r="K48" s="37"/>
      <c r="L48" s="37">
        <v>215</v>
      </c>
      <c r="M48" s="36">
        <v>0.750138888888888</v>
      </c>
      <c r="N48" s="36">
        <v>0.850138888888888</v>
      </c>
      <c r="O48" s="36">
        <f>N48-M48</f>
        <v>0.1</v>
      </c>
      <c r="P48" s="37"/>
      <c r="Q48" s="32">
        <f>U48-N48</f>
        <v>0.0166666666666671</v>
      </c>
      <c r="R48" s="37"/>
      <c r="S48" s="37"/>
      <c r="T48" s="37">
        <v>208</v>
      </c>
      <c r="U48" s="36">
        <v>0.866805555555555</v>
      </c>
      <c r="V48" s="42">
        <v>0.899305555555555</v>
      </c>
      <c r="W48" s="36">
        <f>V48-U48</f>
        <v>0.0325000000000005</v>
      </c>
      <c r="X48" s="36" t="s">
        <v>25</v>
      </c>
      <c r="Y48" s="32">
        <v>0.916666666666667</v>
      </c>
      <c r="Z48" s="31" t="s">
        <v>21</v>
      </c>
      <c r="AA48" s="37">
        <v>160</v>
      </c>
      <c r="AB48" s="36">
        <f>MOD((Y48-B48),1)</f>
        <v>0.305555555555556</v>
      </c>
      <c r="AC48" s="32">
        <f>G48+O48+W48</f>
        <v>0.232361111111103</v>
      </c>
      <c r="AD48" s="32">
        <f>I48+Q48</f>
        <v>0.0445833333333328</v>
      </c>
      <c r="AE48" s="36"/>
      <c r="AF48" s="37"/>
    </row>
    <row r="49" s="3" customFormat="1" ht="21.95" customHeight="1" spans="1:45">
      <c r="A49" s="18">
        <v>39</v>
      </c>
      <c r="B49" s="19">
        <f>E49-TIME(0,15,0)</f>
        <v>0.614583333333333</v>
      </c>
      <c r="C49" s="25" t="s">
        <v>28</v>
      </c>
      <c r="D49" s="25">
        <v>206</v>
      </c>
      <c r="E49" s="24">
        <v>0.625</v>
      </c>
      <c r="F49" s="24">
        <v>0.638888888888889</v>
      </c>
      <c r="G49" s="27">
        <f>F49-E49</f>
        <v>0.013888888888889</v>
      </c>
      <c r="H49" s="41"/>
      <c r="I49" s="19">
        <f>M49-F49</f>
        <v>0.0223611111111109</v>
      </c>
      <c r="J49" s="41"/>
      <c r="K49" s="41"/>
      <c r="L49" s="25">
        <v>207</v>
      </c>
      <c r="M49" s="27">
        <v>0.66125</v>
      </c>
      <c r="N49" s="27">
        <v>0.761111111111111</v>
      </c>
      <c r="O49" s="27">
        <f>N49-M49</f>
        <v>0.0998611111111112</v>
      </c>
      <c r="P49" s="27"/>
      <c r="Q49" s="19">
        <f>U49-N49</f>
        <v>0.0277777777777778</v>
      </c>
      <c r="R49" s="25"/>
      <c r="S49" s="25"/>
      <c r="T49" s="25">
        <v>211</v>
      </c>
      <c r="U49" s="27">
        <v>0.788888888888889</v>
      </c>
      <c r="V49" s="27">
        <v>0.913194444444445</v>
      </c>
      <c r="W49" s="27">
        <f>V49-U49</f>
        <v>0.124305555555556</v>
      </c>
      <c r="X49" s="25" t="s">
        <v>37</v>
      </c>
      <c r="Y49" s="19">
        <v>0.916666666666667</v>
      </c>
      <c r="Z49" s="25" t="s">
        <v>38</v>
      </c>
      <c r="AA49" s="25">
        <v>151</v>
      </c>
      <c r="AB49" s="27">
        <f>MOD((Y49-B49),1)</f>
        <v>0.302083333333333</v>
      </c>
      <c r="AC49" s="19">
        <f>G49+O49+W49</f>
        <v>0.238055555555556</v>
      </c>
      <c r="AD49" s="19">
        <f>I49+Q49</f>
        <v>0.0501388888888887</v>
      </c>
      <c r="AE49" s="27"/>
      <c r="AF49" s="25"/>
    </row>
    <row r="50" s="4" customFormat="1" ht="21.95" customHeight="1" spans="1:45">
      <c r="A50" s="109">
        <v>40</v>
      </c>
      <c r="B50" s="32">
        <v>0.621527777777778</v>
      </c>
      <c r="C50" s="111" t="s">
        <v>19</v>
      </c>
      <c r="D50" s="37">
        <v>218</v>
      </c>
      <c r="E50" s="36">
        <v>0.633472222222222</v>
      </c>
      <c r="F50" s="36">
        <v>0.733333333333333</v>
      </c>
      <c r="G50" s="36">
        <f>F50-E50</f>
        <v>0.0998611111111115</v>
      </c>
      <c r="H50" s="36"/>
      <c r="I50" s="32">
        <f>M50-F50</f>
        <v>0.0279166666666655</v>
      </c>
      <c r="J50" s="37"/>
      <c r="K50" s="37"/>
      <c r="L50" s="37">
        <v>207</v>
      </c>
      <c r="M50" s="36">
        <v>0.761249999999999</v>
      </c>
      <c r="N50" s="36">
        <v>0.86125</v>
      </c>
      <c r="O50" s="36">
        <f>N50-M50</f>
        <v>0.100000000000001</v>
      </c>
      <c r="P50" s="37"/>
      <c r="Q50" s="32">
        <f>U50-N50</f>
        <v>0.0166666666666661</v>
      </c>
      <c r="R50" s="37"/>
      <c r="S50" s="37"/>
      <c r="T50" s="37">
        <v>216</v>
      </c>
      <c r="U50" s="36">
        <v>0.877916666666666</v>
      </c>
      <c r="V50" s="42">
        <v>0.900694444444444</v>
      </c>
      <c r="W50" s="36">
        <f>V50-U50</f>
        <v>0.0227777777777786</v>
      </c>
      <c r="X50" s="36" t="s">
        <v>24</v>
      </c>
      <c r="Y50" s="32">
        <v>0.90625</v>
      </c>
      <c r="Z50" s="37" t="s">
        <v>19</v>
      </c>
      <c r="AA50" s="37">
        <v>149</v>
      </c>
      <c r="AB50" s="36">
        <f>MOD((Y50-B50),1)</f>
        <v>0.284722222222222</v>
      </c>
      <c r="AC50" s="32">
        <f>G50+O50+W50</f>
        <v>0.222638888888891</v>
      </c>
      <c r="AD50" s="32">
        <f>I50+Q50</f>
        <v>0.0445833333333315</v>
      </c>
      <c r="AE50" s="36"/>
      <c r="AF50" s="37"/>
    </row>
    <row r="51" s="3" customFormat="1" ht="21.95" customHeight="1" spans="1:45">
      <c r="A51" s="18"/>
      <c r="B51" s="19"/>
      <c r="C51" s="18"/>
      <c r="D51" s="25"/>
      <c r="E51" s="27"/>
      <c r="F51" s="27"/>
      <c r="G51" s="27"/>
      <c r="H51" s="27"/>
      <c r="I51" s="19"/>
      <c r="J51" s="25"/>
      <c r="K51" s="25"/>
      <c r="L51" s="25"/>
      <c r="M51" s="27"/>
      <c r="N51" s="27"/>
      <c r="O51" s="27"/>
      <c r="P51" s="25"/>
      <c r="Q51" s="19"/>
      <c r="R51" s="25"/>
      <c r="S51" s="25"/>
      <c r="T51" s="25"/>
      <c r="U51" s="27"/>
      <c r="V51" s="40"/>
      <c r="W51" s="27"/>
      <c r="X51" s="40"/>
      <c r="Y51" s="19"/>
      <c r="Z51" s="25"/>
      <c r="AA51" s="25"/>
      <c r="AB51" s="27"/>
      <c r="AC51" s="19"/>
      <c r="AD51" s="19"/>
      <c r="AE51" s="27"/>
      <c r="AF51" s="25"/>
    </row>
    <row r="52" s="4" customFormat="1" ht="21.95" customHeight="1" spans="1:45">
      <c r="A52" s="109">
        <v>41</v>
      </c>
      <c r="B52" s="32">
        <f>E52-TIME(0,15,0)</f>
        <v>0.628611111111111</v>
      </c>
      <c r="C52" s="111" t="s">
        <v>19</v>
      </c>
      <c r="D52" s="37">
        <v>206</v>
      </c>
      <c r="E52" s="36">
        <v>0.639027777777778</v>
      </c>
      <c r="F52" s="36">
        <v>0.738888888888889</v>
      </c>
      <c r="G52" s="36">
        <f>F52-E52</f>
        <v>0.0998611111111111</v>
      </c>
      <c r="H52" s="37"/>
      <c r="I52" s="32">
        <f>M52-F52</f>
        <v>0.0279166666666659</v>
      </c>
      <c r="J52" s="37"/>
      <c r="K52" s="37"/>
      <c r="L52" s="37">
        <v>208</v>
      </c>
      <c r="M52" s="36">
        <v>0.766805555555555</v>
      </c>
      <c r="N52" s="36">
        <v>0.866805555555555</v>
      </c>
      <c r="O52" s="36">
        <f>N52-M52</f>
        <v>0.1</v>
      </c>
      <c r="P52" s="37"/>
      <c r="Q52" s="32">
        <f>U52-N52</f>
        <v>0.0166666666666669</v>
      </c>
      <c r="R52" s="37"/>
      <c r="S52" s="37"/>
      <c r="T52" s="37">
        <v>210</v>
      </c>
      <c r="U52" s="36">
        <v>0.883472222222222</v>
      </c>
      <c r="V52" s="42">
        <v>0.907638888888889</v>
      </c>
      <c r="W52" s="36">
        <f>V52-U52</f>
        <v>0.0241666666666671</v>
      </c>
      <c r="X52" s="42" t="s">
        <v>24</v>
      </c>
      <c r="Y52" s="32">
        <v>0.913194444444445</v>
      </c>
      <c r="Z52" s="37" t="s">
        <v>19</v>
      </c>
      <c r="AA52" s="37">
        <v>149</v>
      </c>
      <c r="AB52" s="36">
        <f>MOD((Y52-B52),1)</f>
        <v>0.284583333333333</v>
      </c>
      <c r="AC52" s="32">
        <f>G52+O52+W52</f>
        <v>0.224027777777778</v>
      </c>
      <c r="AD52" s="32">
        <f>I52+Q52</f>
        <v>0.0445833333333329</v>
      </c>
      <c r="AE52" s="36"/>
      <c r="AF52" s="37"/>
    </row>
    <row r="53" s="3" customFormat="1" ht="21.95" customHeight="1" spans="1:45">
      <c r="A53" s="109">
        <v>42</v>
      </c>
      <c r="B53" s="19">
        <v>0.638888888888889</v>
      </c>
      <c r="C53" s="74" t="s">
        <v>19</v>
      </c>
      <c r="D53" s="25">
        <v>215</v>
      </c>
      <c r="E53" s="27">
        <v>0.650138888888889</v>
      </c>
      <c r="F53" s="27">
        <v>0.750138888888888</v>
      </c>
      <c r="G53" s="27">
        <f>F53-E53</f>
        <v>0.099999999999999</v>
      </c>
      <c r="H53" s="27"/>
      <c r="I53" s="19">
        <f>M53-F53</f>
        <v>0.0277777777777785</v>
      </c>
      <c r="J53" s="25"/>
      <c r="K53" s="25"/>
      <c r="L53" s="25">
        <v>216</v>
      </c>
      <c r="M53" s="27">
        <v>0.777916666666666</v>
      </c>
      <c r="N53" s="27">
        <v>0.877916666666666</v>
      </c>
      <c r="O53" s="27">
        <f>N53-M53</f>
        <v>0.0999999999999995</v>
      </c>
      <c r="P53" s="25"/>
      <c r="Q53" s="19"/>
      <c r="R53" s="25"/>
      <c r="S53" s="25"/>
      <c r="T53" s="25"/>
      <c r="U53" s="27"/>
      <c r="V53" s="40"/>
      <c r="W53" s="27"/>
      <c r="X53" s="40"/>
      <c r="Y53" s="19">
        <v>0.881944444444445</v>
      </c>
      <c r="Z53" s="25" t="s">
        <v>19</v>
      </c>
      <c r="AA53" s="25">
        <v>136</v>
      </c>
      <c r="AB53" s="27">
        <f>MOD((Y53-B53),1)</f>
        <v>0.243055555555556</v>
      </c>
      <c r="AC53" s="19">
        <f>G53+O53+W53</f>
        <v>0.199999999999999</v>
      </c>
      <c r="AD53" s="19">
        <f>I53+Q53</f>
        <v>0.0277777777777785</v>
      </c>
      <c r="AE53" s="27"/>
      <c r="AF53" s="25"/>
    </row>
    <row r="54" s="4" customFormat="1" ht="21.95" customHeight="1" spans="1:45">
      <c r="A54" s="109">
        <v>43</v>
      </c>
      <c r="B54" s="32">
        <f>E54-TIME(0,15,0)</f>
        <v>0.656388888888888</v>
      </c>
      <c r="C54" s="111" t="s">
        <v>19</v>
      </c>
      <c r="D54" s="37">
        <v>208</v>
      </c>
      <c r="E54" s="36">
        <v>0.666805555555555</v>
      </c>
      <c r="F54" s="36">
        <v>0.766805555555555</v>
      </c>
      <c r="G54" s="36">
        <f>F54-E54</f>
        <v>0.1</v>
      </c>
      <c r="H54" s="36"/>
      <c r="I54" s="32">
        <f>M54-F54</f>
        <v>0.027777777777778</v>
      </c>
      <c r="J54" s="37"/>
      <c r="K54" s="37"/>
      <c r="L54" s="37">
        <v>212</v>
      </c>
      <c r="M54" s="36">
        <v>0.794583333333333</v>
      </c>
      <c r="N54" s="36">
        <v>0.894583333333333</v>
      </c>
      <c r="O54" s="36">
        <f>N54-M54</f>
        <v>0.1</v>
      </c>
      <c r="P54" s="43"/>
      <c r="Q54" s="43"/>
      <c r="R54" s="37"/>
      <c r="S54" s="37"/>
      <c r="T54" s="37"/>
      <c r="U54" s="36"/>
      <c r="V54" s="36"/>
      <c r="W54" s="36"/>
      <c r="X54" s="37"/>
      <c r="Y54" s="32">
        <v>0.899305555555555</v>
      </c>
      <c r="Z54" s="37" t="s">
        <v>19</v>
      </c>
      <c r="AA54" s="37">
        <v>136</v>
      </c>
      <c r="AB54" s="36">
        <f>MOD((Y54-B54),1)</f>
        <v>0.242916666666667</v>
      </c>
      <c r="AC54" s="32">
        <f>G54+O54+W54</f>
        <v>0.2</v>
      </c>
      <c r="AD54" s="32">
        <f>I54+Q54</f>
        <v>0.027777777777778</v>
      </c>
      <c r="AE54" s="36"/>
      <c r="AF54" s="37"/>
    </row>
    <row r="55" s="3" customFormat="1" ht="21.95" customHeight="1" spans="1:45">
      <c r="A55" s="109">
        <v>44</v>
      </c>
      <c r="B55" s="19">
        <v>0.659722222222222</v>
      </c>
      <c r="C55" s="25" t="s">
        <v>28</v>
      </c>
      <c r="D55" s="25">
        <v>210</v>
      </c>
      <c r="E55" s="27">
        <v>0.669444444444444</v>
      </c>
      <c r="F55" s="27">
        <v>0.683333333333333</v>
      </c>
      <c r="G55" s="27">
        <f>F55-E55</f>
        <v>0.0138888888888888</v>
      </c>
      <c r="H55" s="25" t="s">
        <v>27</v>
      </c>
      <c r="I55" s="19">
        <f>M55-F55</f>
        <v>0.0168055555555546</v>
      </c>
      <c r="J55" s="25"/>
      <c r="K55" s="25"/>
      <c r="L55" s="25">
        <v>202</v>
      </c>
      <c r="M55" s="27">
        <v>0.700138888888888</v>
      </c>
      <c r="N55" s="27">
        <v>0.8</v>
      </c>
      <c r="O55" s="27">
        <f>N55-M55</f>
        <v>0.0998611111111121</v>
      </c>
      <c r="P55" s="25"/>
      <c r="Q55" s="19">
        <f>U55-N55</f>
        <v>0.0222222222222224</v>
      </c>
      <c r="R55" s="25"/>
      <c r="S55" s="25"/>
      <c r="T55" s="25">
        <v>213</v>
      </c>
      <c r="U55" s="27">
        <v>0.822222222222222</v>
      </c>
      <c r="V55" s="40">
        <v>0.909027777777778</v>
      </c>
      <c r="W55" s="27">
        <f>V55-U55</f>
        <v>0.0868055555555555</v>
      </c>
      <c r="X55" s="27" t="s">
        <v>28</v>
      </c>
      <c r="Y55" s="19">
        <v>0.913194444444445</v>
      </c>
      <c r="Z55" s="18" t="s">
        <v>21</v>
      </c>
      <c r="AA55" s="25">
        <v>136</v>
      </c>
      <c r="AB55" s="27">
        <f>MOD((Y55-B55),1)</f>
        <v>0.253472222222222</v>
      </c>
      <c r="AC55" s="19">
        <f>G55+O55+W55</f>
        <v>0.200555555555556</v>
      </c>
      <c r="AD55" s="19">
        <f>I55+Q55</f>
        <v>0.039027777777777</v>
      </c>
      <c r="AE55" s="27"/>
      <c r="AF55" s="25"/>
    </row>
    <row r="56" s="5" customFormat="1" ht="21.95" customHeight="1" spans="1:45">
      <c r="A56" s="31">
        <v>45</v>
      </c>
      <c r="B56" s="32">
        <f>E56-TIME(0,15,0)</f>
        <v>0.670138888888889</v>
      </c>
      <c r="C56" s="37" t="s">
        <v>28</v>
      </c>
      <c r="D56" s="37">
        <v>212</v>
      </c>
      <c r="E56" s="36">
        <v>0.680555555555555</v>
      </c>
      <c r="F56" s="36">
        <v>0.694444444444445</v>
      </c>
      <c r="G56" s="36">
        <f>F56-E56</f>
        <v>0.0138888888888891</v>
      </c>
      <c r="H56" s="37" t="s">
        <v>27</v>
      </c>
      <c r="I56" s="32">
        <f>M56-F56</f>
        <v>0.0223611111111104</v>
      </c>
      <c r="J56" s="37"/>
      <c r="K56" s="37"/>
      <c r="L56" s="37">
        <v>204</v>
      </c>
      <c r="M56" s="36">
        <v>0.716805555555555</v>
      </c>
      <c r="N56" s="36">
        <v>0.816805555555555</v>
      </c>
      <c r="O56" s="36">
        <f>N56-M56</f>
        <v>0.1</v>
      </c>
      <c r="P56" s="37"/>
      <c r="Q56" s="32">
        <f>U56-N56</f>
        <v>0.022222222222222</v>
      </c>
      <c r="R56" s="37"/>
      <c r="S56" s="37"/>
      <c r="T56" s="37">
        <v>206</v>
      </c>
      <c r="U56" s="36">
        <v>0.839027777777777</v>
      </c>
      <c r="V56" s="36">
        <v>0.906944444444444</v>
      </c>
      <c r="W56" s="36">
        <f>V56-U56</f>
        <v>0.0679166666666675</v>
      </c>
      <c r="X56" s="36" t="s">
        <v>29</v>
      </c>
      <c r="Y56" s="32">
        <v>0.909722222222222</v>
      </c>
      <c r="Z56" s="37" t="s">
        <v>33</v>
      </c>
      <c r="AA56" s="37">
        <v>126</v>
      </c>
      <c r="AB56" s="36">
        <f>MOD((Y56-B56),1)</f>
        <v>0.239583333333333</v>
      </c>
      <c r="AC56" s="32">
        <f>G56+O56+W56</f>
        <v>0.181805555555557</v>
      </c>
      <c r="AD56" s="32">
        <f>I56+Q56</f>
        <v>0.0445833333333324</v>
      </c>
      <c r="AE56" s="36"/>
      <c r="AF56" s="37"/>
      <c r="AP56" s="125"/>
      <c r="AQ56" s="125"/>
      <c r="AR56" s="125"/>
      <c r="AS56" s="125"/>
    </row>
    <row r="57" s="6" customFormat="1" ht="21.95" customHeight="1" spans="1:45">
      <c r="A57" s="18">
        <v>46</v>
      </c>
      <c r="B57" s="19">
        <v>0.673611111111111</v>
      </c>
      <c r="C57" s="74" t="s">
        <v>19</v>
      </c>
      <c r="D57" s="25">
        <v>210</v>
      </c>
      <c r="E57" s="24">
        <v>0.683333333333333</v>
      </c>
      <c r="F57" s="126">
        <v>0.707638888888889</v>
      </c>
      <c r="G57" s="27">
        <f>F57-E57</f>
        <v>0.0243055555555557</v>
      </c>
      <c r="H57" s="26"/>
      <c r="I57" s="19">
        <f>M57-F57</f>
        <v>0.020277777777777</v>
      </c>
      <c r="J57" s="26"/>
      <c r="K57" s="26"/>
      <c r="L57" s="25">
        <v>205</v>
      </c>
      <c r="M57" s="27">
        <v>0.727916666666666</v>
      </c>
      <c r="N57" s="27">
        <v>0.827916666666666</v>
      </c>
      <c r="O57" s="27">
        <f>N57-M57</f>
        <v>0.1</v>
      </c>
      <c r="P57" s="25"/>
      <c r="Q57" s="19">
        <f>U57-N57</f>
        <v>0.0166666666666671</v>
      </c>
      <c r="R57" s="25"/>
      <c r="S57" s="25"/>
      <c r="T57" s="25">
        <v>214</v>
      </c>
      <c r="U57" s="27">
        <v>0.844583333333333</v>
      </c>
      <c r="V57" s="40">
        <v>0.892361111111111</v>
      </c>
      <c r="W57" s="27">
        <f>V57-U57</f>
        <v>0.0477777777777783</v>
      </c>
      <c r="X57" s="27" t="s">
        <v>36</v>
      </c>
      <c r="Y57" s="19">
        <v>0.895833333333333</v>
      </c>
      <c r="Z57" s="25" t="s">
        <v>33</v>
      </c>
      <c r="AA57" s="25">
        <v>115</v>
      </c>
      <c r="AB57" s="27">
        <f>MOD((Y57-B57),1)</f>
        <v>0.222222222222222</v>
      </c>
      <c r="AC57" s="19">
        <f>G57+O57+W57</f>
        <v>0.172083333333334</v>
      </c>
      <c r="AD57" s="19">
        <f>I57+Q57</f>
        <v>0.036944444444444</v>
      </c>
      <c r="AE57" s="27"/>
      <c r="AF57" s="25"/>
      <c r="AG57" s="1"/>
    </row>
    <row r="58" s="4" customFormat="1" ht="21.95" customHeight="1" spans="1:45">
      <c r="A58" s="109">
        <v>47</v>
      </c>
      <c r="B58" s="32">
        <f>E58-TIME(0,15,0)</f>
        <v>0.684027777777778</v>
      </c>
      <c r="C58" s="111" t="s">
        <v>19</v>
      </c>
      <c r="D58" s="37">
        <v>212</v>
      </c>
      <c r="E58" s="34">
        <v>0.694444444444445</v>
      </c>
      <c r="F58" s="35">
        <v>0.71875</v>
      </c>
      <c r="G58" s="36">
        <f>F58-E58</f>
        <v>0.0243055555555555</v>
      </c>
      <c r="H58" s="43"/>
      <c r="I58" s="32">
        <f>M58-F58</f>
        <v>0.0369444444444429</v>
      </c>
      <c r="J58" s="43"/>
      <c r="K58" s="43"/>
      <c r="L58" s="37">
        <v>201</v>
      </c>
      <c r="M58" s="36">
        <v>0.755694444444443</v>
      </c>
      <c r="N58" s="36">
        <v>0.855694444444444</v>
      </c>
      <c r="O58" s="36">
        <f>N58-M58</f>
        <v>0.100000000000001</v>
      </c>
      <c r="P58" s="36"/>
      <c r="Q58" s="32">
        <f>U58-N58</f>
        <v>0.0166666666666671</v>
      </c>
      <c r="R58" s="37"/>
      <c r="S58" s="37"/>
      <c r="T58" s="37">
        <v>209</v>
      </c>
      <c r="U58" s="36">
        <v>0.872361111111111</v>
      </c>
      <c r="V58" s="42">
        <v>0.90625</v>
      </c>
      <c r="W58" s="36">
        <f>V58-U58</f>
        <v>0.0338888888888891</v>
      </c>
      <c r="X58" s="42" t="s">
        <v>25</v>
      </c>
      <c r="Y58" s="32">
        <v>0.909722222222222</v>
      </c>
      <c r="Z58" s="31" t="s">
        <v>21</v>
      </c>
      <c r="AA58" s="37">
        <v>105</v>
      </c>
      <c r="AB58" s="36">
        <f>MOD((Y58-B58),1)</f>
        <v>0.225694444444444</v>
      </c>
      <c r="AC58" s="32">
        <f>G58+O58+W58</f>
        <v>0.158194444444446</v>
      </c>
      <c r="AD58" s="32">
        <f>I58+Q58</f>
        <v>0.0536111111111099</v>
      </c>
      <c r="AE58" s="36"/>
      <c r="AF58" s="37"/>
    </row>
    <row r="59" s="3" customFormat="1" ht="21.95" customHeight="1" spans="1:45">
      <c r="A59" s="18"/>
      <c r="B59" s="19"/>
      <c r="C59" s="25"/>
      <c r="D59" s="116"/>
      <c r="E59" s="116"/>
      <c r="F59" s="116"/>
      <c r="G59" s="25"/>
      <c r="H59" s="116"/>
      <c r="I59" s="127" t="s">
        <v>39</v>
      </c>
      <c r="J59" s="128"/>
      <c r="K59" s="25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25"/>
      <c r="AB59" s="27"/>
      <c r="AC59" s="19"/>
      <c r="AD59" s="19"/>
      <c r="AE59" s="27"/>
      <c r="AF59" s="25"/>
      <c r="AG59" s="41"/>
      <c r="AH59" s="129" t="s">
        <v>40</v>
      </c>
      <c r="AI59" s="25"/>
      <c r="AJ59" s="25"/>
      <c r="AK59" s="25"/>
      <c r="AL59" s="27"/>
      <c r="AM59" s="27"/>
      <c r="AN59" s="27"/>
      <c r="AO59" s="25"/>
      <c r="AP59" s="19"/>
      <c r="AQ59" s="18"/>
    </row>
    <row r="60" s="4" customFormat="1" ht="21.95" customHeight="1" spans="1:45">
      <c r="A60" s="31">
        <v>48</v>
      </c>
      <c r="B60" s="32">
        <v>0.878472222222222</v>
      </c>
      <c r="C60" s="37" t="s">
        <v>29</v>
      </c>
      <c r="D60" s="37">
        <v>204</v>
      </c>
      <c r="E60" s="36">
        <v>0.890277777777778</v>
      </c>
      <c r="F60" s="36">
        <v>0.989583333333333</v>
      </c>
      <c r="G60" s="36">
        <f>MOD(F60-E60,1)</f>
        <v>0.0993055555555555</v>
      </c>
      <c r="H60" s="130" t="s">
        <v>29</v>
      </c>
      <c r="I60" s="37">
        <v>68</v>
      </c>
      <c r="J60" s="46"/>
      <c r="K60" s="46"/>
      <c r="L60" s="46"/>
      <c r="M60" s="46"/>
      <c r="N60" s="46"/>
      <c r="O60" s="46"/>
      <c r="P60" s="43"/>
      <c r="Q60" s="43"/>
      <c r="R60" s="43"/>
      <c r="S60" s="131" t="s">
        <v>41</v>
      </c>
      <c r="T60" s="132"/>
      <c r="U60" s="132"/>
      <c r="V60" s="132"/>
      <c r="W60" s="132"/>
      <c r="X60" s="132"/>
      <c r="Y60" s="132"/>
      <c r="Z60" s="132"/>
      <c r="AA60" s="133"/>
      <c r="AB60" s="36">
        <f>MOD((AP60-B60),1)</f>
        <v>0.444444444444444</v>
      </c>
      <c r="AC60" s="32">
        <f>G60+O60+AN60</f>
        <v>0.146666666666667</v>
      </c>
      <c r="AD60" s="32"/>
      <c r="AE60" s="36"/>
      <c r="AF60" s="37"/>
      <c r="AG60" s="36"/>
      <c r="AH60" s="37">
        <v>21</v>
      </c>
      <c r="AI60" s="37"/>
      <c r="AJ60" s="134" t="s">
        <v>29</v>
      </c>
      <c r="AK60" s="37">
        <v>203</v>
      </c>
      <c r="AL60" s="36">
        <v>0.270833333333333</v>
      </c>
      <c r="AM60" s="36">
        <v>0.318194444444445</v>
      </c>
      <c r="AN60" s="36">
        <f>AM60-AL60</f>
        <v>0.0473611111111112</v>
      </c>
      <c r="AO60" s="36" t="s">
        <v>27</v>
      </c>
      <c r="AP60" s="32">
        <v>0.322916666666667</v>
      </c>
      <c r="AQ60" s="31" t="s">
        <v>19</v>
      </c>
    </row>
    <row r="61" s="3" customFormat="1" ht="21.95" customHeight="1" spans="1:45">
      <c r="A61" s="18">
        <v>49</v>
      </c>
      <c r="B61" s="19">
        <v>0.885416666666667</v>
      </c>
      <c r="C61" s="27" t="s">
        <v>36</v>
      </c>
      <c r="D61" s="25">
        <v>215</v>
      </c>
      <c r="E61" s="40">
        <v>0.897916666666667</v>
      </c>
      <c r="F61" s="27">
        <v>0.00694444444444444</v>
      </c>
      <c r="G61" s="27">
        <f>MOD(F61-E61,1)</f>
        <v>0.109027777777778</v>
      </c>
      <c r="H61" s="135" t="s">
        <v>42</v>
      </c>
      <c r="I61" s="25">
        <v>75</v>
      </c>
      <c r="J61" s="116"/>
      <c r="K61" s="116"/>
      <c r="L61" s="116"/>
      <c r="M61" s="116"/>
      <c r="N61" s="116"/>
      <c r="O61" s="116"/>
      <c r="P61" s="41"/>
      <c r="Q61" s="41"/>
      <c r="R61" s="41"/>
      <c r="S61" s="136"/>
      <c r="T61" s="5"/>
      <c r="U61" s="5"/>
      <c r="V61" s="5"/>
      <c r="W61" s="5"/>
      <c r="X61" s="5"/>
      <c r="Y61" s="5"/>
      <c r="Z61" s="5"/>
      <c r="AA61" s="137"/>
      <c r="AB61" s="27">
        <f>MOD((AP61-B61),1)</f>
        <v>0.444444444444444</v>
      </c>
      <c r="AC61" s="19">
        <f>G61+O61+AN61</f>
        <v>0.17375</v>
      </c>
      <c r="AD61" s="19"/>
      <c r="AE61" s="27"/>
      <c r="AF61" s="25"/>
      <c r="AG61" s="27"/>
      <c r="AH61" s="25">
        <v>28</v>
      </c>
      <c r="AI61" s="25"/>
      <c r="AJ61" s="138" t="s">
        <v>42</v>
      </c>
      <c r="AK61" s="25">
        <v>204</v>
      </c>
      <c r="AL61" s="27">
        <v>0.260416666666667</v>
      </c>
      <c r="AM61" s="27">
        <v>0.325138888888889</v>
      </c>
      <c r="AN61" s="27">
        <f>AM61-AL61</f>
        <v>0.0647222222222223</v>
      </c>
      <c r="AO61" s="27" t="s">
        <v>27</v>
      </c>
      <c r="AP61" s="19">
        <v>0.329861111111111</v>
      </c>
      <c r="AQ61" s="18" t="s">
        <v>19</v>
      </c>
    </row>
    <row r="62" s="4" customFormat="1" ht="21.95" customHeight="1" spans="1:45">
      <c r="A62" s="31">
        <v>50</v>
      </c>
      <c r="B62" s="32">
        <v>0.895833333333333</v>
      </c>
      <c r="C62" s="37" t="s">
        <v>29</v>
      </c>
      <c r="D62" s="37">
        <v>206</v>
      </c>
      <c r="E62" s="36">
        <v>0.905555555555556</v>
      </c>
      <c r="F62" s="36">
        <v>0</v>
      </c>
      <c r="G62" s="36">
        <f>MOD(F62-E62,1)</f>
        <v>0.0944444444444444</v>
      </c>
      <c r="H62" s="139" t="s">
        <v>43</v>
      </c>
      <c r="I62" s="37">
        <v>61</v>
      </c>
      <c r="J62" s="46"/>
      <c r="K62" s="46"/>
      <c r="L62" s="46"/>
      <c r="M62" s="46"/>
      <c r="N62" s="46"/>
      <c r="O62" s="46"/>
      <c r="P62" s="43"/>
      <c r="Q62" s="43"/>
      <c r="R62" s="43"/>
      <c r="S62" s="136"/>
      <c r="T62" s="5"/>
      <c r="U62" s="5"/>
      <c r="V62" s="5"/>
      <c r="W62" s="5"/>
      <c r="X62" s="5"/>
      <c r="Y62" s="5"/>
      <c r="Z62" s="5"/>
      <c r="AA62" s="137"/>
      <c r="AB62" s="36">
        <f>MOD((AP62-B62),1)</f>
        <v>0.420138888888889</v>
      </c>
      <c r="AC62" s="32">
        <f>G62+O62+AN62</f>
        <v>0.165972222222222</v>
      </c>
      <c r="AD62" s="32"/>
      <c r="AE62" s="36"/>
      <c r="AF62" s="37"/>
      <c r="AG62" s="36" t="s">
        <v>44</v>
      </c>
      <c r="AH62" s="37">
        <v>28</v>
      </c>
      <c r="AI62" s="37"/>
      <c r="AJ62" s="134" t="s">
        <v>43</v>
      </c>
      <c r="AK62" s="37">
        <v>202</v>
      </c>
      <c r="AL62" s="36">
        <v>0.239583333333333</v>
      </c>
      <c r="AM62" s="36">
        <v>0.311111111111111</v>
      </c>
      <c r="AN62" s="36">
        <f>AM62-AL62</f>
        <v>0.0715277777777778</v>
      </c>
      <c r="AO62" s="36" t="s">
        <v>27</v>
      </c>
      <c r="AP62" s="32">
        <v>0.315972222222222</v>
      </c>
      <c r="AQ62" s="31" t="s">
        <v>19</v>
      </c>
    </row>
    <row r="63" s="3" customFormat="1" ht="21.95" customHeight="1" spans="1:45">
      <c r="A63" s="18">
        <v>51</v>
      </c>
      <c r="B63" s="19">
        <v>0.895833333333333</v>
      </c>
      <c r="C63" s="18" t="s">
        <v>19</v>
      </c>
      <c r="D63" s="25">
        <v>217</v>
      </c>
      <c r="E63" s="27">
        <v>0.905694444444444</v>
      </c>
      <c r="F63" s="27">
        <v>0.989583333333333</v>
      </c>
      <c r="G63" s="27">
        <f>MOD(F63-E63,1)</f>
        <v>0.0838888888888895</v>
      </c>
      <c r="H63" s="135" t="s">
        <v>45</v>
      </c>
      <c r="I63" s="25">
        <v>55</v>
      </c>
      <c r="J63" s="116"/>
      <c r="K63" s="116"/>
      <c r="L63" s="116"/>
      <c r="M63" s="116"/>
      <c r="N63" s="116"/>
      <c r="O63" s="116"/>
      <c r="P63" s="41"/>
      <c r="Q63" s="41"/>
      <c r="R63" s="41"/>
      <c r="S63" s="136"/>
      <c r="T63" s="5"/>
      <c r="U63" s="5"/>
      <c r="V63" s="5"/>
      <c r="W63" s="5"/>
      <c r="X63" s="5"/>
      <c r="Y63" s="5"/>
      <c r="Z63" s="5"/>
      <c r="AA63" s="137"/>
      <c r="AB63" s="27">
        <f>MOD((AP63-B63),1)</f>
        <v>0.430555555555556</v>
      </c>
      <c r="AC63" s="19">
        <f>G63+O63+AN63</f>
        <v>0.134583333333334</v>
      </c>
      <c r="AD63" s="19"/>
      <c r="AE63" s="27"/>
      <c r="AF63" s="25"/>
      <c r="AG63" s="27"/>
      <c r="AH63" s="25">
        <v>19</v>
      </c>
      <c r="AI63" s="25"/>
      <c r="AJ63" s="140" t="s">
        <v>46</v>
      </c>
      <c r="AK63" s="25">
        <v>205</v>
      </c>
      <c r="AL63" s="27">
        <v>0.270833333333333</v>
      </c>
      <c r="AM63" s="27">
        <v>0.321527777777778</v>
      </c>
      <c r="AN63" s="27">
        <f>AM63-AL63</f>
        <v>0.0506944444444445</v>
      </c>
      <c r="AO63" s="39" t="s">
        <v>28</v>
      </c>
      <c r="AP63" s="19">
        <v>0.326388888888889</v>
      </c>
      <c r="AQ63" s="18" t="s">
        <v>21</v>
      </c>
    </row>
    <row r="64" s="4" customFormat="1" ht="21.95" customHeight="1" spans="1:45">
      <c r="A64" s="31">
        <v>52</v>
      </c>
      <c r="B64" s="32">
        <v>0.895833333333333</v>
      </c>
      <c r="C64" s="37" t="s">
        <v>28</v>
      </c>
      <c r="D64" s="37">
        <v>213</v>
      </c>
      <c r="E64" s="36">
        <v>0.907638888888889</v>
      </c>
      <c r="F64" s="36">
        <v>0</v>
      </c>
      <c r="G64" s="36">
        <f>MOD(F64-E64,1)</f>
        <v>0.092361111111111</v>
      </c>
      <c r="H64" s="139" t="s">
        <v>36</v>
      </c>
      <c r="I64" s="37">
        <v>58</v>
      </c>
      <c r="J64" s="46"/>
      <c r="K64" s="46"/>
      <c r="L64" s="46"/>
      <c r="M64" s="46"/>
      <c r="N64" s="46"/>
      <c r="O64" s="46"/>
      <c r="P64" s="43"/>
      <c r="Q64" s="43"/>
      <c r="R64" s="43"/>
      <c r="S64" s="136"/>
      <c r="T64" s="5"/>
      <c r="U64" s="5"/>
      <c r="V64" s="5"/>
      <c r="W64" s="5"/>
      <c r="X64" s="5"/>
      <c r="Y64" s="5"/>
      <c r="Z64" s="5"/>
      <c r="AA64" s="137"/>
      <c r="AB64" s="36">
        <f>MOD((AP64-B64),1)</f>
        <v>0.427083333333333</v>
      </c>
      <c r="AC64" s="32">
        <f>G64+O64+AN64</f>
        <v>0.140972222222222</v>
      </c>
      <c r="AD64" s="32"/>
      <c r="AE64" s="36"/>
      <c r="AF64" s="37"/>
      <c r="AG64" s="141" t="s">
        <v>47</v>
      </c>
      <c r="AH64" s="37">
        <v>13</v>
      </c>
      <c r="AI64" s="37"/>
      <c r="AJ64" s="134" t="s">
        <v>36</v>
      </c>
      <c r="AK64" s="37">
        <v>206</v>
      </c>
      <c r="AL64" s="36">
        <v>0.270833333333333</v>
      </c>
      <c r="AM64" s="36">
        <v>0.319444444444444</v>
      </c>
      <c r="AN64" s="36">
        <f>AM64-AL64</f>
        <v>0.0486111111111112</v>
      </c>
      <c r="AO64" s="36" t="s">
        <v>29</v>
      </c>
      <c r="AP64" s="32">
        <v>0.322916666666667</v>
      </c>
      <c r="AQ64" s="31" t="s">
        <v>33</v>
      </c>
    </row>
    <row r="65" s="3" customFormat="1" ht="21.95" customHeight="1" spans="1:43">
      <c r="A65" s="116"/>
      <c r="B65" s="19"/>
      <c r="C65" s="25"/>
      <c r="D65" s="25"/>
      <c r="E65" s="25"/>
      <c r="F65" s="25"/>
      <c r="G65" s="27"/>
      <c r="H65" s="142"/>
      <c r="I65" s="25"/>
      <c r="J65" s="116"/>
      <c r="K65" s="116"/>
      <c r="L65" s="116"/>
      <c r="M65" s="116"/>
      <c r="N65" s="116"/>
      <c r="O65" s="116"/>
      <c r="P65" s="41"/>
      <c r="Q65" s="41"/>
      <c r="R65" s="41"/>
      <c r="S65" s="136"/>
      <c r="T65" s="5"/>
      <c r="U65" s="5"/>
      <c r="V65" s="5"/>
      <c r="W65" s="5"/>
      <c r="X65" s="5"/>
      <c r="Y65" s="5"/>
      <c r="Z65" s="5"/>
      <c r="AA65" s="137"/>
      <c r="AB65" s="27"/>
      <c r="AC65" s="19"/>
      <c r="AD65" s="19"/>
      <c r="AE65" s="27"/>
      <c r="AF65" s="25"/>
      <c r="AG65" s="27"/>
      <c r="AH65" s="25"/>
      <c r="AI65" s="25"/>
      <c r="AJ65" s="140"/>
      <c r="AK65" s="25"/>
      <c r="AL65" s="25"/>
      <c r="AM65" s="25"/>
      <c r="AN65" s="27"/>
      <c r="AO65" s="25"/>
      <c r="AP65" s="19"/>
      <c r="AQ65" s="18"/>
    </row>
    <row r="66" s="4" customFormat="1" ht="21.95" customHeight="1" spans="1:43">
      <c r="A66" s="31">
        <v>53</v>
      </c>
      <c r="B66" s="32">
        <v>0.878472222222222</v>
      </c>
      <c r="C66" s="36" t="s">
        <v>36</v>
      </c>
      <c r="D66" s="37">
        <v>214</v>
      </c>
      <c r="E66" s="42">
        <v>0.890972222222222</v>
      </c>
      <c r="F66" s="36">
        <v>0.986111111111111</v>
      </c>
      <c r="G66" s="36">
        <f>MOD(F66-E66,1)</f>
        <v>0.095138888888889</v>
      </c>
      <c r="H66" s="143" t="s">
        <v>32</v>
      </c>
      <c r="I66" s="37">
        <v>48</v>
      </c>
      <c r="J66" s="46"/>
      <c r="K66" s="46"/>
      <c r="L66" s="46"/>
      <c r="M66" s="46"/>
      <c r="N66" s="46"/>
      <c r="O66" s="46"/>
      <c r="P66" s="43"/>
      <c r="Q66" s="43"/>
      <c r="R66" s="43"/>
      <c r="S66" s="136"/>
      <c r="T66" s="5"/>
      <c r="U66" s="5"/>
      <c r="V66" s="5"/>
      <c r="W66" s="5"/>
      <c r="X66" s="5"/>
      <c r="Y66" s="5"/>
      <c r="Z66" s="5"/>
      <c r="AA66" s="137"/>
      <c r="AB66" s="36">
        <f>MOD((AP66-B66),1)</f>
        <v>0.392361111111111</v>
      </c>
      <c r="AC66" s="32">
        <f>G66+O66+AN66</f>
        <v>0.147222222222222</v>
      </c>
      <c r="AD66" s="32"/>
      <c r="AE66" s="36"/>
      <c r="AF66" s="37"/>
      <c r="AG66" s="36"/>
      <c r="AH66" s="37">
        <v>2</v>
      </c>
      <c r="AI66" s="37"/>
      <c r="AJ66" s="134" t="s">
        <v>26</v>
      </c>
      <c r="AK66" s="37">
        <v>219</v>
      </c>
      <c r="AL66" s="34">
        <v>0.25</v>
      </c>
      <c r="AM66" s="34">
        <v>0.302083333333333</v>
      </c>
      <c r="AN66" s="36">
        <f>AM66-AL66</f>
        <v>0.0520833333333333</v>
      </c>
      <c r="AO66" s="37" t="s">
        <v>48</v>
      </c>
      <c r="AP66" s="32">
        <v>0.270833333333333</v>
      </c>
      <c r="AQ66" s="31" t="s">
        <v>19</v>
      </c>
    </row>
    <row r="67" s="3" customFormat="1" ht="21.95" customHeight="1" spans="1:43">
      <c r="A67" s="18">
        <v>54</v>
      </c>
      <c r="B67" s="19">
        <v>0.881944444444445</v>
      </c>
      <c r="C67" s="18" t="s">
        <v>19</v>
      </c>
      <c r="D67" s="25">
        <v>212</v>
      </c>
      <c r="E67" s="27">
        <v>0.894444444444444</v>
      </c>
      <c r="F67" s="27">
        <v>0.00694444444444444</v>
      </c>
      <c r="G67" s="27">
        <f>MOD(F67-E67,1)</f>
        <v>0.1125</v>
      </c>
      <c r="H67" s="142" t="s">
        <v>49</v>
      </c>
      <c r="I67" s="25">
        <v>75</v>
      </c>
      <c r="J67" s="116"/>
      <c r="K67" s="116"/>
      <c r="L67" s="116"/>
      <c r="M67" s="116"/>
      <c r="N67" s="116"/>
      <c r="O67" s="116"/>
      <c r="P67" s="41"/>
      <c r="Q67" s="41"/>
      <c r="R67" s="41"/>
      <c r="S67" s="136"/>
      <c r="T67" s="5"/>
      <c r="U67" s="5"/>
      <c r="V67" s="5"/>
      <c r="W67" s="5"/>
      <c r="X67" s="5"/>
      <c r="Y67" s="5"/>
      <c r="Z67" s="5"/>
      <c r="AA67" s="137"/>
      <c r="AB67" s="27">
        <f>MOD((AP67-B67),1)</f>
        <v>0.423611111111111</v>
      </c>
      <c r="AC67" s="19">
        <f>G67+O67+AN67</f>
        <v>0.14375</v>
      </c>
      <c r="AD67" s="19"/>
      <c r="AE67" s="27"/>
      <c r="AF67" s="25"/>
      <c r="AG67" s="144" t="s">
        <v>50</v>
      </c>
      <c r="AH67" s="25">
        <v>7</v>
      </c>
      <c r="AI67" s="25"/>
      <c r="AJ67" s="140" t="s">
        <v>49</v>
      </c>
      <c r="AK67" s="25">
        <v>208</v>
      </c>
      <c r="AL67" s="27">
        <v>0.270833333333333</v>
      </c>
      <c r="AM67" s="40">
        <v>0.302083333333333</v>
      </c>
      <c r="AN67" s="27">
        <f>AM67-AL67</f>
        <v>0.03125</v>
      </c>
      <c r="AO67" s="27" t="s">
        <v>24</v>
      </c>
      <c r="AP67" s="19">
        <v>0.305555555555556</v>
      </c>
      <c r="AQ67" s="18" t="s">
        <v>19</v>
      </c>
    </row>
    <row r="68" s="4" customFormat="1" ht="21.95" customHeight="1" spans="1:43">
      <c r="A68" s="31">
        <v>55</v>
      </c>
      <c r="B68" s="32">
        <v>0.885416666666667</v>
      </c>
      <c r="C68" s="37" t="s">
        <v>28</v>
      </c>
      <c r="D68" s="37">
        <v>203</v>
      </c>
      <c r="E68" s="36">
        <v>0.897222222222222</v>
      </c>
      <c r="F68" s="36">
        <v>0.958333333333333</v>
      </c>
      <c r="G68" s="36">
        <f>MOD(F68-E68,1)</f>
        <v>0.0611111111111111</v>
      </c>
      <c r="H68" s="143" t="s">
        <v>32</v>
      </c>
      <c r="I68" s="37">
        <v>95</v>
      </c>
      <c r="J68" s="46"/>
      <c r="K68" s="46"/>
      <c r="L68" s="46"/>
      <c r="M68" s="46"/>
      <c r="N68" s="46"/>
      <c r="O68" s="46"/>
      <c r="P68" s="43"/>
      <c r="Q68" s="43"/>
      <c r="R68" s="43"/>
      <c r="S68" s="136"/>
      <c r="T68" s="5"/>
      <c r="U68" s="5"/>
      <c r="V68" s="5"/>
      <c r="W68" s="5"/>
      <c r="X68" s="5"/>
      <c r="Y68" s="5"/>
      <c r="Z68" s="5"/>
      <c r="AA68" s="137"/>
      <c r="AB68" s="36">
        <f>MOD((AP68-B68),1)</f>
        <v>0.385416666666667</v>
      </c>
      <c r="AC68" s="32">
        <f>G68+O68+AN68</f>
        <v>0.122916666666667</v>
      </c>
      <c r="AD68" s="32"/>
      <c r="AE68" s="36"/>
      <c r="AF68" s="37"/>
      <c r="AG68" s="36"/>
      <c r="AH68" s="37">
        <v>16</v>
      </c>
      <c r="AI68" s="37"/>
      <c r="AJ68" s="134" t="s">
        <v>26</v>
      </c>
      <c r="AK68" s="37">
        <v>211</v>
      </c>
      <c r="AL68" s="36">
        <v>0.256944444444444</v>
      </c>
      <c r="AM68" s="42">
        <v>0.31875</v>
      </c>
      <c r="AN68" s="36">
        <f>AM68-AL68</f>
        <v>0.0618055555555556</v>
      </c>
      <c r="AO68" s="36" t="s">
        <v>51</v>
      </c>
      <c r="AP68" s="32">
        <v>0.270833333333333</v>
      </c>
      <c r="AQ68" s="31" t="s">
        <v>19</v>
      </c>
    </row>
    <row r="69" s="3" customFormat="1" ht="21.95" customHeight="1" spans="1:43">
      <c r="A69" s="18">
        <v>56</v>
      </c>
      <c r="B69" s="19">
        <v>0.885416666666667</v>
      </c>
      <c r="C69" s="40" t="s">
        <v>25</v>
      </c>
      <c r="D69" s="25">
        <v>208</v>
      </c>
      <c r="E69" s="27">
        <v>0.897916666666667</v>
      </c>
      <c r="F69" s="27">
        <v>0.00694444444444444</v>
      </c>
      <c r="G69" s="27">
        <f>MOD(F69-E69,1)</f>
        <v>0.109027777777778</v>
      </c>
      <c r="H69" s="142" t="s">
        <v>32</v>
      </c>
      <c r="I69" s="25">
        <v>59</v>
      </c>
      <c r="J69" s="116"/>
      <c r="K69" s="116"/>
      <c r="L69" s="116"/>
      <c r="M69" s="116"/>
      <c r="N69" s="116"/>
      <c r="O69" s="116"/>
      <c r="P69" s="41"/>
      <c r="Q69" s="41"/>
      <c r="R69" s="41"/>
      <c r="S69" s="136"/>
      <c r="T69" s="5"/>
      <c r="U69" s="5"/>
      <c r="V69" s="5"/>
      <c r="W69" s="5"/>
      <c r="X69" s="5"/>
      <c r="Y69" s="5"/>
      <c r="Z69" s="5"/>
      <c r="AA69" s="137"/>
      <c r="AB69" s="27">
        <f>MOD((AP69-B69),1)</f>
        <v>0.385416666666667</v>
      </c>
      <c r="AC69" s="19">
        <f>G69+O69+AN69</f>
        <v>0.109027777777778</v>
      </c>
      <c r="AD69" s="19"/>
      <c r="AE69" s="27"/>
      <c r="AF69" s="25"/>
      <c r="AG69" s="27"/>
      <c r="AH69" s="25"/>
      <c r="AI69" s="25"/>
      <c r="AJ69" s="140"/>
      <c r="AK69" s="116"/>
      <c r="AL69" s="116"/>
      <c r="AM69" s="116"/>
      <c r="AN69" s="27"/>
      <c r="AO69" s="116"/>
      <c r="AP69" s="19">
        <v>0.270833333333333</v>
      </c>
      <c r="AQ69" s="18" t="s">
        <v>19</v>
      </c>
    </row>
    <row r="70" s="4" customFormat="1" ht="21.95" customHeight="1" spans="1:43">
      <c r="A70" s="31">
        <v>57</v>
      </c>
      <c r="B70" s="32">
        <f>E70-TIME(0,15,0)</f>
        <v>0.888888888888889</v>
      </c>
      <c r="C70" s="42" t="s">
        <v>24</v>
      </c>
      <c r="D70" s="117">
        <v>216</v>
      </c>
      <c r="E70" s="145">
        <v>0.899305555555555</v>
      </c>
      <c r="F70" s="146">
        <v>0</v>
      </c>
      <c r="G70" s="36">
        <f>MOD(F70-E70,1)</f>
        <v>0.100694444444445</v>
      </c>
      <c r="H70" s="147" t="s">
        <v>52</v>
      </c>
      <c r="I70" s="37">
        <v>64</v>
      </c>
      <c r="J70" s="46"/>
      <c r="K70" s="46"/>
      <c r="L70" s="46"/>
      <c r="M70" s="46"/>
      <c r="N70" s="46"/>
      <c r="O70" s="46"/>
      <c r="P70" s="43"/>
      <c r="Q70" s="43"/>
      <c r="R70" s="43"/>
      <c r="S70" s="136"/>
      <c r="T70" s="5"/>
      <c r="U70" s="5"/>
      <c r="V70" s="5"/>
      <c r="W70" s="5"/>
      <c r="X70" s="5"/>
      <c r="Y70" s="5"/>
      <c r="Z70" s="5"/>
      <c r="AA70" s="137"/>
      <c r="AB70" s="36">
        <f>MOD((AP70-B70),1)</f>
        <v>0.40625</v>
      </c>
      <c r="AC70" s="32">
        <f>G70+O70+AN70</f>
        <v>0.152777777777778</v>
      </c>
      <c r="AD70" s="32"/>
      <c r="AE70" s="36"/>
      <c r="AF70" s="37"/>
      <c r="AG70" s="36" t="s">
        <v>44</v>
      </c>
      <c r="AH70" s="37">
        <v>47</v>
      </c>
      <c r="AI70" s="37"/>
      <c r="AJ70" s="148" t="s">
        <v>52</v>
      </c>
      <c r="AK70" s="37">
        <v>201</v>
      </c>
      <c r="AL70" s="36">
        <v>0.239583333333333</v>
      </c>
      <c r="AM70" s="36">
        <v>0.291666666666667</v>
      </c>
      <c r="AN70" s="36">
        <f>AM70-AL70</f>
        <v>0.0520833333333333</v>
      </c>
      <c r="AO70" s="36" t="s">
        <v>28</v>
      </c>
      <c r="AP70" s="32">
        <v>0.295138888888889</v>
      </c>
      <c r="AQ70" s="31" t="s">
        <v>21</v>
      </c>
    </row>
    <row r="71" s="3" customFormat="1" ht="21.95" customHeight="1" spans="1:43">
      <c r="A71" s="18">
        <v>58</v>
      </c>
      <c r="B71" s="19">
        <v>0.888888888888889</v>
      </c>
      <c r="C71" s="18" t="s">
        <v>19</v>
      </c>
      <c r="D71" s="25">
        <v>202</v>
      </c>
      <c r="E71" s="27">
        <v>0.900138888888888</v>
      </c>
      <c r="F71" s="27">
        <v>0.00694444444444444</v>
      </c>
      <c r="G71" s="27">
        <f>MOD(F71-E71,1)</f>
        <v>0.106805555555556</v>
      </c>
      <c r="H71" s="142" t="s">
        <v>53</v>
      </c>
      <c r="I71" s="25">
        <v>74</v>
      </c>
      <c r="J71" s="116"/>
      <c r="K71" s="116"/>
      <c r="L71" s="116"/>
      <c r="M71" s="116"/>
      <c r="N71" s="116"/>
      <c r="O71" s="116"/>
      <c r="P71" s="41"/>
      <c r="Q71" s="41"/>
      <c r="R71" s="41"/>
      <c r="S71" s="136"/>
      <c r="T71" s="5"/>
      <c r="U71" s="5"/>
      <c r="V71" s="5"/>
      <c r="W71" s="5"/>
      <c r="X71" s="5"/>
      <c r="Y71" s="5"/>
      <c r="Z71" s="5"/>
      <c r="AA71" s="137"/>
      <c r="AB71" s="27">
        <f>MOD((AP71-B71),1)</f>
        <v>0.423611111111111</v>
      </c>
      <c r="AC71" s="19">
        <f>G71+O71+AN71</f>
        <v>0.135972222222223</v>
      </c>
      <c r="AD71" s="19"/>
      <c r="AE71" s="27"/>
      <c r="AF71" s="25"/>
      <c r="AG71" s="27"/>
      <c r="AH71" s="25">
        <v>7</v>
      </c>
      <c r="AI71" s="25"/>
      <c r="AJ71" s="140" t="s">
        <v>53</v>
      </c>
      <c r="AK71" s="25">
        <v>209</v>
      </c>
      <c r="AL71" s="27">
        <v>0.277777777777778</v>
      </c>
      <c r="AM71" s="40">
        <v>0.306944444444444</v>
      </c>
      <c r="AN71" s="27">
        <f>AM71-AL71</f>
        <v>0.0291666666666666</v>
      </c>
      <c r="AO71" s="27" t="s">
        <v>24</v>
      </c>
      <c r="AP71" s="19">
        <v>0.3125</v>
      </c>
      <c r="AQ71" s="18" t="s">
        <v>19</v>
      </c>
    </row>
    <row r="72" s="4" customFormat="1" ht="21.95" customHeight="1" spans="1:43">
      <c r="A72" s="31">
        <v>59</v>
      </c>
      <c r="B72" s="32">
        <v>0.888888888888889</v>
      </c>
      <c r="C72" s="37" t="s">
        <v>29</v>
      </c>
      <c r="D72" s="37">
        <v>205</v>
      </c>
      <c r="E72" s="36">
        <v>0.901388888888889</v>
      </c>
      <c r="F72" s="36">
        <v>0.975694444444445</v>
      </c>
      <c r="G72" s="36">
        <f>MOD(F72-E72,1)</f>
        <v>0.0743055555555556</v>
      </c>
      <c r="H72" s="143" t="s">
        <v>32</v>
      </c>
      <c r="I72" s="37">
        <v>36</v>
      </c>
      <c r="J72" s="46"/>
      <c r="K72" s="46"/>
      <c r="L72" s="46"/>
      <c r="M72" s="46"/>
      <c r="N72" s="46"/>
      <c r="O72" s="46"/>
      <c r="P72" s="43"/>
      <c r="Q72" s="43"/>
      <c r="R72" s="43"/>
      <c r="S72" s="136"/>
      <c r="T72" s="5"/>
      <c r="U72" s="5"/>
      <c r="V72" s="5"/>
      <c r="W72" s="5"/>
      <c r="X72" s="5"/>
      <c r="Y72" s="5"/>
      <c r="Z72" s="5"/>
      <c r="AA72" s="137"/>
      <c r="AB72" s="36">
        <f>MOD((AP72-B72),1)</f>
        <v>0.381944444444444</v>
      </c>
      <c r="AC72" s="32">
        <f>G72+O72+AN72</f>
        <v>0.139583333333333</v>
      </c>
      <c r="AD72" s="32"/>
      <c r="AE72" s="36"/>
      <c r="AF72" s="37"/>
      <c r="AG72" s="36"/>
      <c r="AH72" s="37">
        <v>16</v>
      </c>
      <c r="AI72" s="37"/>
      <c r="AJ72" s="134" t="s">
        <v>26</v>
      </c>
      <c r="AK72" s="37">
        <v>212</v>
      </c>
      <c r="AL72" s="36">
        <v>0.260416666666667</v>
      </c>
      <c r="AM72" s="42">
        <v>0.325694444444444</v>
      </c>
      <c r="AN72" s="36">
        <f>AM72-AL72</f>
        <v>0.0652777777777778</v>
      </c>
      <c r="AO72" s="36" t="s">
        <v>51</v>
      </c>
      <c r="AP72" s="32">
        <v>0.270833333333333</v>
      </c>
      <c r="AQ72" s="31" t="s">
        <v>19</v>
      </c>
    </row>
    <row r="73" s="3" customFormat="1" ht="21.95" customHeight="1" spans="1:43">
      <c r="A73" s="18">
        <v>60</v>
      </c>
      <c r="B73" s="19">
        <v>0.892361111111111</v>
      </c>
      <c r="C73" s="27" t="s">
        <v>36</v>
      </c>
      <c r="D73" s="25">
        <v>201</v>
      </c>
      <c r="E73" s="40">
        <v>0.904861111111111</v>
      </c>
      <c r="F73" s="27">
        <v>0.972222222222222</v>
      </c>
      <c r="G73" s="27">
        <f>MOD(F73-E73,1)</f>
        <v>0.0673611111111112</v>
      </c>
      <c r="H73" s="142" t="s">
        <v>30</v>
      </c>
      <c r="I73" s="25">
        <v>41</v>
      </c>
      <c r="J73" s="116"/>
      <c r="K73" s="116"/>
      <c r="L73" s="116"/>
      <c r="M73" s="116"/>
      <c r="N73" s="116"/>
      <c r="O73" s="116"/>
      <c r="P73" s="41"/>
      <c r="Q73" s="41"/>
      <c r="R73" s="41"/>
      <c r="S73" s="136"/>
      <c r="T73" s="5"/>
      <c r="U73" s="5"/>
      <c r="V73" s="5"/>
      <c r="W73" s="5"/>
      <c r="X73" s="5"/>
      <c r="Y73" s="5"/>
      <c r="Z73" s="5"/>
      <c r="AA73" s="137"/>
      <c r="AB73" s="27">
        <f>MOD((AP73-B73),1)</f>
        <v>0.378472222222222</v>
      </c>
      <c r="AC73" s="19">
        <f>G73+O73+AN73</f>
        <v>0.0673611111111112</v>
      </c>
      <c r="AD73" s="19"/>
      <c r="AE73" s="27"/>
      <c r="AF73" s="25"/>
      <c r="AG73" s="27"/>
      <c r="AH73" s="25"/>
      <c r="AI73" s="25"/>
      <c r="AJ73" s="140"/>
      <c r="AK73" s="25"/>
      <c r="AL73" s="25"/>
      <c r="AM73" s="25"/>
      <c r="AN73" s="27"/>
      <c r="AO73" s="25"/>
      <c r="AP73" s="19">
        <v>0.270833333333333</v>
      </c>
      <c r="AQ73" s="18" t="s">
        <v>19</v>
      </c>
    </row>
    <row r="74" s="4" customFormat="1" ht="21.95" customHeight="1" spans="1:43">
      <c r="A74" s="31">
        <v>61</v>
      </c>
      <c r="B74" s="32">
        <v>0.892361111111111</v>
      </c>
      <c r="C74" s="42" t="s">
        <v>25</v>
      </c>
      <c r="D74" s="37">
        <v>209</v>
      </c>
      <c r="E74" s="42">
        <v>0.904861111111111</v>
      </c>
      <c r="F74" s="36">
        <v>0.00694444444444444</v>
      </c>
      <c r="G74" s="36">
        <f>MOD(F74-E74,1)</f>
        <v>0.102083333333333</v>
      </c>
      <c r="H74" s="130" t="s">
        <v>54</v>
      </c>
      <c r="I74" s="37">
        <v>66</v>
      </c>
      <c r="J74" s="46"/>
      <c r="K74" s="46"/>
      <c r="L74" s="46"/>
      <c r="M74" s="46"/>
      <c r="N74" s="46"/>
      <c r="O74" s="46"/>
      <c r="P74" s="43"/>
      <c r="Q74" s="43"/>
      <c r="R74" s="43"/>
      <c r="S74" s="136"/>
      <c r="T74" s="5"/>
      <c r="U74" s="5"/>
      <c r="V74" s="5"/>
      <c r="W74" s="5"/>
      <c r="X74" s="5"/>
      <c r="Y74" s="5"/>
      <c r="Z74" s="5"/>
      <c r="AA74" s="137"/>
      <c r="AB74" s="36">
        <f>MOD((AP74-B74),1)</f>
        <v>0.378472222222222</v>
      </c>
      <c r="AC74" s="32">
        <f>G74+O74+AN74</f>
        <v>0.102083333333333</v>
      </c>
      <c r="AD74" s="32"/>
      <c r="AE74" s="36"/>
      <c r="AF74" s="37"/>
      <c r="AG74" s="36"/>
      <c r="AH74" s="37"/>
      <c r="AI74" s="37"/>
      <c r="AJ74" s="134"/>
      <c r="AK74" s="37"/>
      <c r="AL74" s="37"/>
      <c r="AM74" s="37"/>
      <c r="AN74" s="36"/>
      <c r="AO74" s="37"/>
      <c r="AP74" s="32">
        <v>0.270833333333333</v>
      </c>
      <c r="AQ74" s="31" t="s">
        <v>19</v>
      </c>
    </row>
    <row r="75" s="3" customFormat="1" ht="21.95" customHeight="1" spans="1:43">
      <c r="A75" s="18">
        <v>62</v>
      </c>
      <c r="B75" s="19">
        <f>E75-TIME(0,15,0)</f>
        <v>0.895833333333333</v>
      </c>
      <c r="C75" s="40" t="s">
        <v>24</v>
      </c>
      <c r="D75" s="25">
        <v>210</v>
      </c>
      <c r="E75" s="27">
        <v>0.90625</v>
      </c>
      <c r="F75" s="27">
        <v>0.00694444444444444</v>
      </c>
      <c r="G75" s="27">
        <f>MOD(F75-E75,1)</f>
        <v>0.100694444444444</v>
      </c>
      <c r="H75" s="142" t="s">
        <v>55</v>
      </c>
      <c r="I75" s="25">
        <v>64</v>
      </c>
      <c r="J75" s="116"/>
      <c r="K75" s="116"/>
      <c r="L75" s="116"/>
      <c r="M75" s="116"/>
      <c r="N75" s="116"/>
      <c r="O75" s="116"/>
      <c r="P75" s="41"/>
      <c r="Q75" s="41"/>
      <c r="R75" s="41"/>
      <c r="S75" s="136"/>
      <c r="T75" s="5"/>
      <c r="U75" s="5"/>
      <c r="V75" s="5"/>
      <c r="W75" s="5"/>
      <c r="X75" s="5"/>
      <c r="Y75" s="5"/>
      <c r="Z75" s="5"/>
      <c r="AA75" s="137"/>
      <c r="AB75" s="27">
        <f>MOD((AP75-B75),1)</f>
        <v>0.420138888888889</v>
      </c>
      <c r="AC75" s="19">
        <f>G75+O75+AN75</f>
        <v>0.141666666666667</v>
      </c>
      <c r="AD75" s="19"/>
      <c r="AE75" s="27"/>
      <c r="AF75" s="25"/>
      <c r="AG75" s="27"/>
      <c r="AH75" s="25">
        <v>10</v>
      </c>
      <c r="AI75" s="25"/>
      <c r="AJ75" s="140" t="s">
        <v>55</v>
      </c>
      <c r="AK75" s="25">
        <v>210</v>
      </c>
      <c r="AL75" s="27">
        <v>0.270833333333333</v>
      </c>
      <c r="AM75" s="40">
        <v>0.311805555555556</v>
      </c>
      <c r="AN75" s="27">
        <f>AM75-AL75</f>
        <v>0.0409722222222222</v>
      </c>
      <c r="AO75" s="27" t="s">
        <v>24</v>
      </c>
      <c r="AP75" s="19">
        <v>0.315972222222222</v>
      </c>
      <c r="AQ75" s="18" t="s">
        <v>19</v>
      </c>
    </row>
    <row r="76" s="4" customFormat="1" ht="21.95" customHeight="1" spans="1:43">
      <c r="A76" s="46"/>
      <c r="B76" s="32"/>
      <c r="C76" s="37"/>
      <c r="D76" s="46"/>
      <c r="E76" s="46"/>
      <c r="F76" s="46"/>
      <c r="G76" s="37"/>
      <c r="H76" s="46"/>
      <c r="I76" s="36"/>
      <c r="J76" s="37"/>
      <c r="K76" s="37"/>
      <c r="L76" s="37"/>
      <c r="M76" s="36"/>
      <c r="N76" s="36"/>
      <c r="O76" s="36"/>
      <c r="P76" s="43"/>
      <c r="Q76" s="43"/>
      <c r="R76" s="43"/>
      <c r="S76" s="136"/>
      <c r="T76" s="5"/>
      <c r="U76" s="5"/>
      <c r="V76" s="5"/>
      <c r="W76" s="5"/>
      <c r="X76" s="5"/>
      <c r="Y76" s="5"/>
      <c r="Z76" s="5"/>
      <c r="AA76" s="137"/>
      <c r="AB76" s="36"/>
      <c r="AC76" s="32"/>
      <c r="AD76" s="32"/>
      <c r="AE76" s="36"/>
      <c r="AF76" s="37"/>
      <c r="AG76" s="37"/>
      <c r="AH76" s="36"/>
      <c r="AI76" s="37"/>
      <c r="AJ76" s="37"/>
      <c r="AK76" s="37"/>
      <c r="AL76" s="36"/>
      <c r="AM76" s="36"/>
      <c r="AN76" s="34"/>
      <c r="AO76" s="37"/>
      <c r="AP76" s="32"/>
      <c r="AQ76" s="31"/>
    </row>
    <row r="77" s="6" customFormat="1" ht="21.95" customHeight="1" spans="1:43">
      <c r="A77" s="18">
        <v>63</v>
      </c>
      <c r="B77" s="19">
        <v>0.895833333333333</v>
      </c>
      <c r="C77" s="25" t="s">
        <v>19</v>
      </c>
      <c r="D77" s="25" t="s">
        <v>56</v>
      </c>
      <c r="E77" s="24"/>
      <c r="F77" s="24"/>
      <c r="G77" s="27"/>
      <c r="H77" s="25"/>
      <c r="I77" s="25"/>
      <c r="J77" s="25"/>
      <c r="K77" s="25"/>
      <c r="L77" s="25"/>
      <c r="M77" s="25"/>
      <c r="N77" s="25"/>
      <c r="O77" s="25"/>
      <c r="P77" s="26"/>
      <c r="Q77" s="26"/>
      <c r="R77" s="26"/>
      <c r="S77" s="136"/>
      <c r="T77" s="5"/>
      <c r="U77" s="5"/>
      <c r="V77" s="5"/>
      <c r="W77" s="5"/>
      <c r="X77" s="5"/>
      <c r="Y77" s="5"/>
      <c r="Z77" s="5"/>
      <c r="AA77" s="137"/>
      <c r="AB77" s="27">
        <f>MOD((AP77-B77),1)</f>
        <v>0.375</v>
      </c>
      <c r="AC77" s="19"/>
      <c r="AD77" s="19"/>
      <c r="AE77" s="19"/>
      <c r="AF77" s="27"/>
      <c r="AG77" s="25"/>
      <c r="AH77" s="45"/>
      <c r="AI77" s="25"/>
      <c r="AJ77" s="27"/>
      <c r="AK77" s="25" t="s">
        <v>56</v>
      </c>
      <c r="AL77" s="27"/>
      <c r="AM77" s="27"/>
      <c r="AN77" s="19"/>
      <c r="AO77" s="27"/>
      <c r="AP77" s="24">
        <v>0.270833333333333</v>
      </c>
      <c r="AQ77" s="18" t="s">
        <v>19</v>
      </c>
    </row>
    <row r="78" s="7" customFormat="1" ht="21.95" customHeight="1" spans="1:43">
      <c r="A78" s="31">
        <v>64</v>
      </c>
      <c r="B78" s="32">
        <v>0.895833333333333</v>
      </c>
      <c r="C78" s="37" t="s">
        <v>57</v>
      </c>
      <c r="D78" s="37" t="s">
        <v>58</v>
      </c>
      <c r="E78" s="36"/>
      <c r="F78" s="36"/>
      <c r="G78" s="36"/>
      <c r="H78" s="37"/>
      <c r="I78" s="37"/>
      <c r="J78" s="37"/>
      <c r="K78" s="37"/>
      <c r="L78" s="37"/>
      <c r="M78" s="37"/>
      <c r="N78" s="37"/>
      <c r="O78" s="37"/>
      <c r="P78" s="149"/>
      <c r="Q78" s="149"/>
      <c r="R78" s="149"/>
      <c r="S78" s="150"/>
      <c r="T78" s="151"/>
      <c r="U78" s="151"/>
      <c r="V78" s="151"/>
      <c r="W78" s="151"/>
      <c r="X78" s="151"/>
      <c r="Y78" s="151"/>
      <c r="Z78" s="151"/>
      <c r="AA78" s="152"/>
      <c r="AB78" s="36">
        <f>MOD((AP78-B78),1)</f>
        <v>0.375</v>
      </c>
      <c r="AC78" s="32"/>
      <c r="AD78" s="32"/>
      <c r="AE78" s="32"/>
      <c r="AF78" s="36"/>
      <c r="AG78" s="37"/>
      <c r="AH78" s="120"/>
      <c r="AI78" s="37"/>
      <c r="AJ78" s="36"/>
      <c r="AK78" s="37" t="s">
        <v>58</v>
      </c>
      <c r="AL78" s="36"/>
      <c r="AM78" s="36"/>
      <c r="AN78" s="32"/>
      <c r="AO78" s="36"/>
      <c r="AP78" s="34">
        <v>0.270833333333333</v>
      </c>
      <c r="AQ78" s="31" t="s">
        <v>19</v>
      </c>
    </row>
    <row r="79" spans="1:43">
      <c r="A79" s="153"/>
      <c r="B79" s="154"/>
      <c r="I79" s="155"/>
      <c r="J79" s="15"/>
      <c r="K79" s="15"/>
      <c r="L79" s="15"/>
      <c r="M79" s="14"/>
      <c r="N79" s="14"/>
      <c r="O79" s="14"/>
      <c r="P79" s="13"/>
      <c r="Q79" s="14"/>
      <c r="R79" s="13"/>
      <c r="S79" s="13"/>
      <c r="T79" s="13"/>
      <c r="U79" s="14"/>
      <c r="V79" s="14"/>
      <c r="W79" s="14"/>
      <c r="X79" s="15"/>
      <c r="Y79" s="156"/>
      <c r="Z79" s="157" t="s">
        <v>59</v>
      </c>
      <c r="AA79" s="158"/>
      <c r="AB79" s="159">
        <f>AVERAGE(AB3:AB78)</f>
        <v>0.330885416666667</v>
      </c>
      <c r="AC79" s="159">
        <f>AVERAGE(AC5:AC78)</f>
        <v>0.210146072796935</v>
      </c>
      <c r="AD79" s="159">
        <f>AVERAGE(AD5:AD78)</f>
        <v>0.0488888888888885</v>
      </c>
      <c r="AE79" s="159" t="e">
        <f>AVERAGE(AE5:AE78)</f>
        <v>#DIV/0!</v>
      </c>
      <c r="AF79" s="160"/>
    </row>
    <row r="80" spans="1:43">
      <c r="C80" s="161"/>
    </row>
  </sheetData>
  <autoFilter xmlns:etc="http://www.wps.cn/officeDocument/2017/etCustomData" ref="A2:AF8" etc:filterBottomFollowUsedRange="0">
    <sortState ref="A2:AF8">
      <sortCondition ref="B2:B8"/>
    </sortState>
    <extLst/>
  </autoFilter>
  <mergeCells count="14">
    <mergeCell ref="A1:AA1"/>
    <mergeCell ref="A14:A15"/>
    <mergeCell ref="A18:A19"/>
    <mergeCell ref="B14:B15"/>
    <mergeCell ref="B18:B19"/>
    <mergeCell ref="C14:C15"/>
    <mergeCell ref="C18:C19"/>
    <mergeCell ref="Y14:Y15"/>
    <mergeCell ref="Y18:Y19"/>
    <mergeCell ref="Z14:Z15"/>
    <mergeCell ref="Z18:Z19"/>
    <mergeCell ref="AA14:AA15"/>
    <mergeCell ref="AA18:AA19"/>
    <mergeCell ref="S60:AA78"/>
  </mergeCells>
  <conditionalFormatting sqref="AB$1:AB$1048576">
    <cfRule type="cellIs" dxfId="0" priority="1" operator="greaterThan">
      <formula>$AB$3</formula>
    </cfRule>
  </conditionalFormatting>
  <conditionalFormatting sqref="AB3:AB58">
    <cfRule type="cellIs" dxfId="0" priority="2" operator="greaterThan">
      <formula>$AB$8</formula>
    </cfRule>
  </conditionalFormatting>
  <printOptions horizontalCentered="1" verticalCentered="1"/>
  <pageMargins left="0" right="0" top="0" bottom="0" header="0" footer="0"/>
  <pageSetup paperSize="9" scale="65" orientation="landscape"/>
  <headerFooter/>
  <rowBreaks count="1" manualBreakCount="1">
    <brk id="40" max="26" man="1"/>
  </rowBreaks>
  <colBreaks count="1" manualBreakCount="1">
    <brk id="27" max="1048575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Sun Link roster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nages</dc:creator>
  <cp:lastModifiedBy>nages</cp:lastModifiedBy>
  <dcterms:created xsi:type="dcterms:W3CDTF">2026-04-28T09:49:00Z</dcterms:created>
  <dcterms:modified xsi:type="dcterms:W3CDTF">2026-04-28T11:27:57Z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FD6EF0A2BE0D4D14855ED0A9E301A5A4_11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1</vt:i4>
  </property>
</Properties>
</file>