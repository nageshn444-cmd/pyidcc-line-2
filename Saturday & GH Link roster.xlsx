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idcrewmu\Desktop\Kms\"/>
    </mc:Choice>
  </mc:AlternateContent>
  <bookViews>
    <workbookView xWindow="0" yWindow="0" windowWidth="28800" windowHeight="12330"/>
  </bookViews>
  <sheets>
    <sheet name="Sat CRRC link " sheetId="1" r:id="rId1"/>
  </sheets>
  <externalReferences>
    <externalReference r:id="rId2"/>
    <externalReference r:id="rId3"/>
    <externalReference r:id="rId4"/>
  </externalReferences>
  <definedNames>
    <definedName name="hh">'[1]exp1 (2)'!$N$3:$N$180</definedName>
    <definedName name="JJJ">'[2]3.8'!$H$2:$H$130</definedName>
    <definedName name="KK">'[2]3.8'!$H$2:$H$130</definedName>
    <definedName name="ll" localSheetId="0">#REF!</definedName>
    <definedName name="ll">#REF!</definedName>
    <definedName name="NEW">#REF!</definedName>
    <definedName name="_xlnm.Print_Area" localSheetId="0">'Sat CRRC link '!$A$1:$AB$88</definedName>
    <definedName name="_xlnm.Print_Titles" localSheetId="0">'Sat CRRC link '!$1:$2</definedName>
    <definedName name="timings" localSheetId="0">#REF!</definedName>
    <definedName name="timing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9" i="1" l="1"/>
  <c r="AC88" i="1"/>
  <c r="AC87" i="1"/>
  <c r="AC85" i="1"/>
  <c r="AA85" i="1"/>
  <c r="W85" i="1"/>
  <c r="I85" i="1"/>
  <c r="AD85" i="1" s="1"/>
  <c r="G85" i="1"/>
  <c r="AB85" i="1" s="1"/>
  <c r="AD84" i="1"/>
  <c r="AC84" i="1"/>
  <c r="AA84" i="1"/>
  <c r="W84" i="1"/>
  <c r="I84" i="1"/>
  <c r="G84" i="1"/>
  <c r="AB84" i="1" s="1"/>
  <c r="AC83" i="1"/>
  <c r="AA83" i="1"/>
  <c r="W83" i="1"/>
  <c r="I83" i="1"/>
  <c r="AD83" i="1" s="1"/>
  <c r="G83" i="1"/>
  <c r="AB83" i="1" s="1"/>
  <c r="AD82" i="1"/>
  <c r="AC82" i="1"/>
  <c r="AA82" i="1"/>
  <c r="W82" i="1"/>
  <c r="I82" i="1"/>
  <c r="G82" i="1"/>
  <c r="AB82" i="1" s="1"/>
  <c r="AC81" i="1"/>
  <c r="AA81" i="1"/>
  <c r="W81" i="1"/>
  <c r="I81" i="1"/>
  <c r="AD81" i="1" s="1"/>
  <c r="G81" i="1"/>
  <c r="AB81" i="1" s="1"/>
  <c r="AD80" i="1"/>
  <c r="AC80" i="1"/>
  <c r="AA80" i="1"/>
  <c r="W80" i="1"/>
  <c r="I80" i="1"/>
  <c r="G80" i="1"/>
  <c r="AB80" i="1" s="1"/>
  <c r="AC79" i="1"/>
  <c r="AB79" i="1"/>
  <c r="AA79" i="1"/>
  <c r="G79" i="1"/>
  <c r="AC78" i="1"/>
  <c r="AB78" i="1"/>
  <c r="AA78" i="1"/>
  <c r="G78" i="1"/>
  <c r="AC77" i="1"/>
  <c r="AA77" i="1"/>
  <c r="W77" i="1"/>
  <c r="I77" i="1"/>
  <c r="AD77" i="1" s="1"/>
  <c r="G77" i="1"/>
  <c r="AB77" i="1" s="1"/>
  <c r="AD75" i="1"/>
  <c r="AC75" i="1"/>
  <c r="AA75" i="1"/>
  <c r="W75" i="1"/>
  <c r="I75" i="1"/>
  <c r="G75" i="1"/>
  <c r="AB75" i="1" s="1"/>
  <c r="AC74" i="1"/>
  <c r="AA74" i="1"/>
  <c r="W74" i="1"/>
  <c r="I74" i="1"/>
  <c r="AD74" i="1" s="1"/>
  <c r="G74" i="1"/>
  <c r="AB74" i="1" s="1"/>
  <c r="AD73" i="1"/>
  <c r="AC73" i="1"/>
  <c r="AA73" i="1"/>
  <c r="W73" i="1"/>
  <c r="I73" i="1"/>
  <c r="G73" i="1"/>
  <c r="AB73" i="1" s="1"/>
  <c r="AC72" i="1"/>
  <c r="AA72" i="1"/>
  <c r="W72" i="1"/>
  <c r="I72" i="1"/>
  <c r="AD72" i="1" s="1"/>
  <c r="G72" i="1"/>
  <c r="AB72" i="1" s="1"/>
  <c r="AD71" i="1"/>
  <c r="AC71" i="1"/>
  <c r="AA71" i="1"/>
  <c r="W71" i="1"/>
  <c r="I71" i="1"/>
  <c r="G71" i="1"/>
  <c r="AB71" i="1" s="1"/>
  <c r="AC69" i="1"/>
  <c r="W69" i="1"/>
  <c r="Q69" i="1"/>
  <c r="O69" i="1"/>
  <c r="I69" i="1"/>
  <c r="AD69" i="1" s="1"/>
  <c r="G69" i="1"/>
  <c r="AB69" i="1" s="1"/>
  <c r="B69" i="1"/>
  <c r="AB68" i="1"/>
  <c r="W68" i="1"/>
  <c r="Q68" i="1"/>
  <c r="O68" i="1"/>
  <c r="I68" i="1"/>
  <c r="AD68" i="1" s="1"/>
  <c r="G68" i="1"/>
  <c r="B68" i="1"/>
  <c r="AC68" i="1" s="1"/>
  <c r="AC67" i="1"/>
  <c r="W67" i="1"/>
  <c r="Q67" i="1"/>
  <c r="O67" i="1"/>
  <c r="I67" i="1"/>
  <c r="AD67" i="1" s="1"/>
  <c r="G67" i="1"/>
  <c r="AB67" i="1" s="1"/>
  <c r="B67" i="1"/>
  <c r="AC66" i="1"/>
  <c r="AB66" i="1"/>
  <c r="W66" i="1"/>
  <c r="Q66" i="1"/>
  <c r="AD66" i="1" s="1"/>
  <c r="O66" i="1"/>
  <c r="I66" i="1"/>
  <c r="G66" i="1"/>
  <c r="AB65" i="1"/>
  <c r="W65" i="1"/>
  <c r="Q65" i="1"/>
  <c r="AD65" i="1" s="1"/>
  <c r="O65" i="1"/>
  <c r="I65" i="1"/>
  <c r="G65" i="1"/>
  <c r="B65" i="1"/>
  <c r="AC65" i="1" s="1"/>
  <c r="AC64" i="1"/>
  <c r="W64" i="1"/>
  <c r="Q64" i="1"/>
  <c r="AD64" i="1" s="1"/>
  <c r="O64" i="1"/>
  <c r="I64" i="1"/>
  <c r="G64" i="1"/>
  <c r="AB64" i="1" s="1"/>
  <c r="AC62" i="1"/>
  <c r="W62" i="1"/>
  <c r="Q62" i="1"/>
  <c r="AD62" i="1" s="1"/>
  <c r="O62" i="1"/>
  <c r="I62" i="1"/>
  <c r="G62" i="1"/>
  <c r="AB62" i="1" s="1"/>
  <c r="AC61" i="1"/>
  <c r="O61" i="1"/>
  <c r="I61" i="1"/>
  <c r="AD61" i="1" s="1"/>
  <c r="G61" i="1"/>
  <c r="AB61" i="1" s="1"/>
  <c r="AC60" i="1"/>
  <c r="W60" i="1"/>
  <c r="Q60" i="1"/>
  <c r="O60" i="1"/>
  <c r="I60" i="1"/>
  <c r="AD60" i="1" s="1"/>
  <c r="G60" i="1"/>
  <c r="AB60" i="1" s="1"/>
  <c r="B60" i="1"/>
  <c r="AC58" i="1"/>
  <c r="AB58" i="1"/>
  <c r="W58" i="1"/>
  <c r="Q58" i="1"/>
  <c r="AD58" i="1" s="1"/>
  <c r="O58" i="1"/>
  <c r="I58" i="1"/>
  <c r="G58" i="1"/>
  <c r="AB57" i="1"/>
  <c r="W57" i="1"/>
  <c r="Q57" i="1"/>
  <c r="AD57" i="1" s="1"/>
  <c r="O57" i="1"/>
  <c r="I57" i="1"/>
  <c r="G57" i="1"/>
  <c r="B57" i="1"/>
  <c r="AC57" i="1" s="1"/>
  <c r="AC56" i="1"/>
  <c r="W56" i="1"/>
  <c r="Q56" i="1"/>
  <c r="O56" i="1"/>
  <c r="I56" i="1"/>
  <c r="AD56" i="1" s="1"/>
  <c r="G56" i="1"/>
  <c r="AB56" i="1" s="1"/>
  <c r="AC55" i="1"/>
  <c r="W55" i="1"/>
  <c r="Q55" i="1"/>
  <c r="O55" i="1"/>
  <c r="I55" i="1"/>
  <c r="AD55" i="1" s="1"/>
  <c r="G55" i="1"/>
  <c r="AB55" i="1" s="1"/>
  <c r="AC54" i="1"/>
  <c r="W54" i="1"/>
  <c r="Q54" i="1"/>
  <c r="O54" i="1"/>
  <c r="I54" i="1"/>
  <c r="AD54" i="1" s="1"/>
  <c r="G54" i="1"/>
  <c r="AB54" i="1" s="1"/>
  <c r="B54" i="1"/>
  <c r="AC53" i="1"/>
  <c r="AB53" i="1"/>
  <c r="W53" i="1"/>
  <c r="Q53" i="1"/>
  <c r="O53" i="1"/>
  <c r="I53" i="1"/>
  <c r="AD53" i="1" s="1"/>
  <c r="G53" i="1"/>
  <c r="AC52" i="1"/>
  <c r="AB52" i="1"/>
  <c r="W52" i="1"/>
  <c r="Q52" i="1"/>
  <c r="O52" i="1"/>
  <c r="I52" i="1"/>
  <c r="AD52" i="1" s="1"/>
  <c r="G52" i="1"/>
  <c r="AC50" i="1"/>
  <c r="AB50" i="1"/>
  <c r="W50" i="1"/>
  <c r="Q50" i="1"/>
  <c r="O50" i="1"/>
  <c r="I50" i="1"/>
  <c r="AD50" i="1" s="1"/>
  <c r="G50" i="1"/>
  <c r="AB49" i="1"/>
  <c r="W49" i="1"/>
  <c r="Q49" i="1"/>
  <c r="O49" i="1"/>
  <c r="I49" i="1"/>
  <c r="AD49" i="1" s="1"/>
  <c r="G49" i="1"/>
  <c r="B49" i="1"/>
  <c r="AC49" i="1" s="1"/>
  <c r="AC48" i="1"/>
  <c r="W48" i="1"/>
  <c r="Q48" i="1"/>
  <c r="O48" i="1"/>
  <c r="I48" i="1"/>
  <c r="AD48" i="1" s="1"/>
  <c r="G48" i="1"/>
  <c r="AB48" i="1" s="1"/>
  <c r="AC47" i="1"/>
  <c r="W47" i="1"/>
  <c r="Q47" i="1"/>
  <c r="O47" i="1"/>
  <c r="I47" i="1"/>
  <c r="AD47" i="1" s="1"/>
  <c r="G47" i="1"/>
  <c r="AB47" i="1" s="1"/>
  <c r="AC46" i="1"/>
  <c r="W46" i="1"/>
  <c r="Q46" i="1"/>
  <c r="O46" i="1"/>
  <c r="I46" i="1"/>
  <c r="AD46" i="1" s="1"/>
  <c r="G46" i="1"/>
  <c r="AB46" i="1" s="1"/>
  <c r="AC45" i="1"/>
  <c r="W45" i="1"/>
  <c r="Q45" i="1"/>
  <c r="O45" i="1"/>
  <c r="I45" i="1"/>
  <c r="AD45" i="1" s="1"/>
  <c r="G45" i="1"/>
  <c r="AB45" i="1" s="1"/>
  <c r="AC44" i="1"/>
  <c r="W44" i="1"/>
  <c r="Q44" i="1"/>
  <c r="O44" i="1"/>
  <c r="I44" i="1"/>
  <c r="AD44" i="1" s="1"/>
  <c r="G44" i="1"/>
  <c r="AB44" i="1" s="1"/>
  <c r="B44" i="1"/>
  <c r="AC43" i="1"/>
  <c r="AB43" i="1"/>
  <c r="W43" i="1"/>
  <c r="Q43" i="1"/>
  <c r="AD43" i="1" s="1"/>
  <c r="O43" i="1"/>
  <c r="I43" i="1"/>
  <c r="G43" i="1"/>
  <c r="AC41" i="1"/>
  <c r="AB41" i="1"/>
  <c r="W41" i="1"/>
  <c r="Q41" i="1"/>
  <c r="AD41" i="1" s="1"/>
  <c r="O41" i="1"/>
  <c r="I41" i="1"/>
  <c r="G41" i="1"/>
  <c r="AC40" i="1"/>
  <c r="AB40" i="1"/>
  <c r="W40" i="1"/>
  <c r="Q40" i="1"/>
  <c r="AD40" i="1" s="1"/>
  <c r="O40" i="1"/>
  <c r="I40" i="1"/>
  <c r="G40" i="1"/>
  <c r="AC39" i="1"/>
  <c r="AB39" i="1"/>
  <c r="W39" i="1"/>
  <c r="Q39" i="1"/>
  <c r="AD39" i="1" s="1"/>
  <c r="O39" i="1"/>
  <c r="I39" i="1"/>
  <c r="G39" i="1"/>
  <c r="AC38" i="1"/>
  <c r="AB38" i="1"/>
  <c r="W38" i="1"/>
  <c r="Q38" i="1"/>
  <c r="AD38" i="1" s="1"/>
  <c r="O38" i="1"/>
  <c r="I38" i="1"/>
  <c r="G38" i="1"/>
  <c r="AC37" i="1"/>
  <c r="AB37" i="1"/>
  <c r="W37" i="1"/>
  <c r="Q37" i="1"/>
  <c r="AD37" i="1" s="1"/>
  <c r="O37" i="1"/>
  <c r="I37" i="1"/>
  <c r="G37" i="1"/>
  <c r="AC36" i="1"/>
  <c r="AB36" i="1"/>
  <c r="W36" i="1"/>
  <c r="Q36" i="1"/>
  <c r="AD36" i="1" s="1"/>
  <c r="O36" i="1"/>
  <c r="I36" i="1"/>
  <c r="G36" i="1"/>
  <c r="AC35" i="1"/>
  <c r="AC34" i="1"/>
  <c r="AC32" i="1"/>
  <c r="AB32" i="1"/>
  <c r="W32" i="1"/>
  <c r="Q32" i="1"/>
  <c r="O32" i="1"/>
  <c r="I32" i="1"/>
  <c r="AD32" i="1" s="1"/>
  <c r="G32" i="1"/>
  <c r="AB31" i="1"/>
  <c r="W31" i="1"/>
  <c r="Q31" i="1"/>
  <c r="O31" i="1"/>
  <c r="I31" i="1"/>
  <c r="AD31" i="1" s="1"/>
  <c r="G31" i="1"/>
  <c r="B31" i="1"/>
  <c r="AC31" i="1" s="1"/>
  <c r="AC30" i="1"/>
  <c r="W30" i="1"/>
  <c r="Q30" i="1"/>
  <c r="O30" i="1"/>
  <c r="I30" i="1"/>
  <c r="AD30" i="1" s="1"/>
  <c r="G30" i="1"/>
  <c r="AC29" i="1"/>
  <c r="W29" i="1"/>
  <c r="Q29" i="1"/>
  <c r="O29" i="1"/>
  <c r="I29" i="1"/>
  <c r="AD29" i="1" s="1"/>
  <c r="G29" i="1"/>
  <c r="AB29" i="1" s="1"/>
  <c r="AC28" i="1"/>
  <c r="W28" i="1"/>
  <c r="Q28" i="1"/>
  <c r="O28" i="1"/>
  <c r="I28" i="1"/>
  <c r="AD28" i="1" s="1"/>
  <c r="G28" i="1"/>
  <c r="AB28" i="1" s="1"/>
  <c r="AC27" i="1"/>
  <c r="O27" i="1"/>
  <c r="I27" i="1"/>
  <c r="AD27" i="1" s="1"/>
  <c r="G27" i="1"/>
  <c r="AB27" i="1" s="1"/>
  <c r="AC26" i="1"/>
  <c r="W26" i="1"/>
  <c r="Q26" i="1"/>
  <c r="AD26" i="1" s="1"/>
  <c r="O26" i="1"/>
  <c r="I26" i="1"/>
  <c r="G26" i="1"/>
  <c r="AB26" i="1" s="1"/>
  <c r="B26" i="1"/>
  <c r="AB25" i="1"/>
  <c r="W25" i="1"/>
  <c r="Q25" i="1"/>
  <c r="O25" i="1"/>
  <c r="I25" i="1"/>
  <c r="AD25" i="1" s="1"/>
  <c r="G25" i="1"/>
  <c r="B25" i="1"/>
  <c r="AC25" i="1" s="1"/>
  <c r="AC24" i="1"/>
  <c r="W24" i="1"/>
  <c r="Q24" i="1"/>
  <c r="O24" i="1"/>
  <c r="I24" i="1"/>
  <c r="AD24" i="1" s="1"/>
  <c r="G24" i="1"/>
  <c r="AB24" i="1" s="1"/>
  <c r="AC22" i="1"/>
  <c r="W22" i="1"/>
  <c r="Q22" i="1"/>
  <c r="O22" i="1"/>
  <c r="I22" i="1"/>
  <c r="AD22" i="1" s="1"/>
  <c r="G22" i="1"/>
  <c r="AB22" i="1" s="1"/>
  <c r="B22" i="1"/>
  <c r="AC21" i="1"/>
  <c r="AB21" i="1"/>
  <c r="W21" i="1"/>
  <c r="Q21" i="1"/>
  <c r="AD21" i="1" s="1"/>
  <c r="O21" i="1"/>
  <c r="I21" i="1"/>
  <c r="G21" i="1"/>
  <c r="AB20" i="1"/>
  <c r="W20" i="1"/>
  <c r="Q20" i="1"/>
  <c r="AD20" i="1" s="1"/>
  <c r="O20" i="1"/>
  <c r="I20" i="1"/>
  <c r="G20" i="1"/>
  <c r="B20" i="1"/>
  <c r="AC20" i="1" s="1"/>
  <c r="AC19" i="1"/>
  <c r="W19" i="1"/>
  <c r="Q19" i="1"/>
  <c r="O19" i="1"/>
  <c r="I19" i="1"/>
  <c r="AD19" i="1" s="1"/>
  <c r="G19" i="1"/>
  <c r="AB19" i="1" s="1"/>
  <c r="AC18" i="1"/>
  <c r="W18" i="1"/>
  <c r="Q18" i="1"/>
  <c r="O18" i="1"/>
  <c r="I18" i="1"/>
  <c r="AD18" i="1" s="1"/>
  <c r="G18" i="1"/>
  <c r="AB18" i="1" s="1"/>
  <c r="B18" i="1"/>
  <c r="AC16" i="1"/>
  <c r="AB16" i="1"/>
  <c r="W16" i="1"/>
  <c r="Q16" i="1"/>
  <c r="O16" i="1"/>
  <c r="I16" i="1"/>
  <c r="AD16" i="1" s="1"/>
  <c r="G16" i="1"/>
  <c r="AC15" i="1"/>
  <c r="AB15" i="1"/>
  <c r="W15" i="1"/>
  <c r="Q15" i="1"/>
  <c r="O15" i="1"/>
  <c r="I15" i="1"/>
  <c r="AD15" i="1" s="1"/>
  <c r="G15" i="1"/>
  <c r="AB14" i="1"/>
  <c r="W14" i="1"/>
  <c r="Q14" i="1"/>
  <c r="O14" i="1"/>
  <c r="I14" i="1"/>
  <c r="AD14" i="1" s="1"/>
  <c r="G14" i="1"/>
  <c r="B14" i="1"/>
  <c r="AC14" i="1" s="1"/>
  <c r="AC13" i="1"/>
  <c r="W13" i="1"/>
  <c r="Q13" i="1"/>
  <c r="O13" i="1"/>
  <c r="I13" i="1"/>
  <c r="AD13" i="1" s="1"/>
  <c r="G13" i="1"/>
  <c r="AB13" i="1" s="1"/>
  <c r="AC12" i="1"/>
  <c r="W12" i="1"/>
  <c r="Q12" i="1"/>
  <c r="O12" i="1"/>
  <c r="I12" i="1"/>
  <c r="AD12" i="1" s="1"/>
  <c r="G12" i="1"/>
  <c r="AB12" i="1" s="1"/>
  <c r="AC11" i="1"/>
  <c r="AC89" i="1" s="1"/>
  <c r="W11" i="1"/>
  <c r="Q11" i="1"/>
  <c r="O11" i="1"/>
  <c r="I11" i="1"/>
  <c r="AD11" i="1" s="1"/>
  <c r="AD89" i="1" s="1"/>
  <c r="G11" i="1"/>
  <c r="AB11" i="1" s="1"/>
  <c r="AC10" i="1"/>
  <c r="W10" i="1"/>
  <c r="Q10" i="1"/>
  <c r="O10" i="1"/>
  <c r="I10" i="1"/>
  <c r="AD10" i="1" s="1"/>
  <c r="G10" i="1"/>
  <c r="AB10" i="1" s="1"/>
  <c r="B10" i="1"/>
  <c r="AC8" i="1"/>
  <c r="AB8" i="1"/>
  <c r="W8" i="1"/>
  <c r="Q8" i="1"/>
  <c r="AD8" i="1" s="1"/>
  <c r="O8" i="1"/>
  <c r="I8" i="1"/>
  <c r="G8" i="1"/>
  <c r="AC7" i="1"/>
  <c r="AB7" i="1"/>
  <c r="W7" i="1"/>
  <c r="Q7" i="1"/>
  <c r="AD7" i="1" s="1"/>
  <c r="O7" i="1"/>
  <c r="I7" i="1"/>
  <c r="G7" i="1"/>
  <c r="AB6" i="1"/>
  <c r="W6" i="1"/>
  <c r="Q6" i="1"/>
  <c r="AD6" i="1" s="1"/>
  <c r="O6" i="1"/>
  <c r="I6" i="1"/>
  <c r="G6" i="1"/>
  <c r="B6" i="1"/>
  <c r="AC6" i="1" s="1"/>
  <c r="AC5" i="1"/>
  <c r="W5" i="1"/>
  <c r="Q5" i="1"/>
  <c r="O5" i="1"/>
  <c r="AB30" i="1" s="1"/>
  <c r="I5" i="1"/>
  <c r="AD5" i="1" s="1"/>
  <c r="G5" i="1"/>
  <c r="AB5" i="1" s="1"/>
  <c r="AC4" i="1"/>
  <c r="AC3" i="1"/>
  <c r="AB89" i="1" l="1"/>
</calcChain>
</file>

<file path=xl/comments1.xml><?xml version="1.0" encoding="utf-8"?>
<comments xmlns="http://schemas.openxmlformats.org/spreadsheetml/2006/main">
  <authors>
    <author>Manjunath. B.M</author>
  </authors>
  <commentList>
    <comment ref="C64" authorId="0" shapeId="0">
      <text>
        <r>
          <rPr>
            <b/>
            <sz val="12"/>
            <color indexed="81"/>
            <rFont val="Tahoma"/>
            <family val="2"/>
          </rPr>
          <t>ID 15 PDC to be done,  (because Friday Night shift PDC Only duty TO shall not perform Morn PDC of CRRC TS.)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<sst xmlns="http://schemas.openxmlformats.org/spreadsheetml/2006/main" count="376" uniqueCount="153">
  <si>
    <t>From 02-Oct-2026 - CRRC ID 215 &amp; 219 SATURDAY &amp; GH Link for TT Dated 15-3-2025</t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</si>
  <si>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</si>
  <si>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</si>
  <si>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</si>
  <si>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</si>
  <si>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</si>
  <si>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</si>
  <si>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</si>
  <si>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</si>
  <si>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>Break</t>
  </si>
  <si>
    <t>Takeover
Location</t>
  </si>
  <si>
    <t>BreakCouns</t>
  </si>
  <si>
    <t>S OFF Time</t>
  </si>
  <si>
    <t>Sign Off Location</t>
  </si>
  <si>
    <t>Kms</t>
  </si>
  <si>
    <t>Driving Hrs</t>
  </si>
  <si>
    <t>Duty Hrs</t>
  </si>
  <si>
    <t>Counselling</t>
  </si>
  <si>
    <t>Duty Type</t>
  </si>
  <si>
    <t xml:space="preserve">PYID </t>
  </si>
  <si>
    <t>Pro 1</t>
  </si>
  <si>
    <t>PYID</t>
  </si>
  <si>
    <t>PRO1</t>
  </si>
  <si>
    <t>TGTP</t>
  </si>
  <si>
    <t>Stby</t>
  </si>
  <si>
    <t>OR1</t>
  </si>
  <si>
    <t>KGWA DN</t>
  </si>
  <si>
    <t>P DHO</t>
  </si>
  <si>
    <t>Depot</t>
  </si>
  <si>
    <t>A3</t>
  </si>
  <si>
    <t xml:space="preserve"> PYID RD3</t>
  </si>
  <si>
    <t>A4T</t>
  </si>
  <si>
    <t>Dpo-Rd3/NO PDC</t>
  </si>
  <si>
    <t>A5T3</t>
  </si>
  <si>
    <t>A6T3</t>
  </si>
  <si>
    <t>PYID DN</t>
  </si>
  <si>
    <t>A7T3</t>
  </si>
  <si>
    <t>A8T3</t>
  </si>
  <si>
    <t>A9T3</t>
  </si>
  <si>
    <t>A10T3</t>
  </si>
  <si>
    <t>Dpo - Rd3</t>
  </si>
  <si>
    <t>A11</t>
  </si>
  <si>
    <t>A12T3</t>
  </si>
  <si>
    <t>A13T3</t>
  </si>
  <si>
    <t>KGWA</t>
  </si>
  <si>
    <t>A14</t>
  </si>
  <si>
    <t>A15T3</t>
  </si>
  <si>
    <t>PUTH UP</t>
  </si>
  <si>
    <t>A16T</t>
  </si>
  <si>
    <t>A17T3</t>
  </si>
  <si>
    <t>Couns(12:30)</t>
  </si>
  <si>
    <t>A18</t>
  </si>
  <si>
    <t>A19T3</t>
  </si>
  <si>
    <t>A20T</t>
  </si>
  <si>
    <t>A21T3</t>
  </si>
  <si>
    <t>A21</t>
  </si>
  <si>
    <t>A23T3</t>
  </si>
  <si>
    <t>Couns(13:00)</t>
  </si>
  <si>
    <t>A24T3</t>
  </si>
  <si>
    <t>KGWA UP</t>
  </si>
  <si>
    <t>A25T3</t>
  </si>
  <si>
    <t>A26T3</t>
  </si>
  <si>
    <t>A27</t>
  </si>
  <si>
    <t>OR2</t>
  </si>
  <si>
    <t>Pro 2</t>
  </si>
  <si>
    <t>PRO2</t>
  </si>
  <si>
    <t>Couns</t>
  </si>
  <si>
    <t>B30</t>
  </si>
  <si>
    <t>B31T</t>
  </si>
  <si>
    <t>B32</t>
  </si>
  <si>
    <t>RD3</t>
  </si>
  <si>
    <t>B33</t>
  </si>
  <si>
    <t>B34T3</t>
  </si>
  <si>
    <t>B35T3</t>
  </si>
  <si>
    <t>B36T3</t>
  </si>
  <si>
    <t>B37T3</t>
  </si>
  <si>
    <t>PUTH</t>
  </si>
  <si>
    <t>B38</t>
  </si>
  <si>
    <t>B39T3</t>
  </si>
  <si>
    <t>B40T3</t>
  </si>
  <si>
    <t>B41</t>
  </si>
  <si>
    <t>B42</t>
  </si>
  <si>
    <t>B43T</t>
  </si>
  <si>
    <t>B44T</t>
  </si>
  <si>
    <t>PUTH DN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</si>
  <si>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</si>
  <si>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</si>
  <si>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</si>
  <si>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</si>
  <si>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</si>
  <si>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</si>
  <si>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</si>
  <si>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</si>
  <si>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</si>
  <si>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CR54</t>
  </si>
  <si>
    <t>Dpo-Rd3</t>
  </si>
  <si>
    <t>CR215</t>
  </si>
  <si>
    <t>CR219</t>
  </si>
  <si>
    <t>KGWA Up</t>
  </si>
  <si>
    <t>B54</t>
  </si>
  <si>
    <t>CR55</t>
  </si>
  <si>
    <t>PUTH Dn</t>
  </si>
  <si>
    <t>B55</t>
  </si>
  <si>
    <t>CR56</t>
  </si>
  <si>
    <t>B56</t>
  </si>
  <si>
    <t>CR57</t>
  </si>
  <si>
    <t>B57</t>
  </si>
  <si>
    <t>CR58</t>
  </si>
  <si>
    <t>B58</t>
  </si>
  <si>
    <t>CR59</t>
  </si>
  <si>
    <t>B59</t>
  </si>
  <si>
    <t>APTS DN</t>
  </si>
  <si>
    <t>N60Ap</t>
  </si>
  <si>
    <t>PUTH-NLC Pilot</t>
  </si>
  <si>
    <t>N61</t>
  </si>
  <si>
    <t>NLC UP</t>
  </si>
  <si>
    <t>Pilot</t>
  </si>
  <si>
    <t>NLC UP PF</t>
  </si>
  <si>
    <t>N62Nlc</t>
  </si>
  <si>
    <t>N63</t>
  </si>
  <si>
    <t>APTS UP</t>
  </si>
  <si>
    <t>APTS-PUTH Pilot</t>
  </si>
  <si>
    <t>N64Ap</t>
  </si>
  <si>
    <t>BT DN B/E</t>
  </si>
  <si>
    <t>BT DN BE</t>
  </si>
  <si>
    <t>N65Bi</t>
  </si>
  <si>
    <t>B DHO</t>
  </si>
  <si>
    <t>Ntest</t>
  </si>
  <si>
    <t>PDC 214,216</t>
  </si>
  <si>
    <t>N66</t>
  </si>
  <si>
    <t>N PKT/Depot</t>
  </si>
  <si>
    <t>N67</t>
  </si>
  <si>
    <t>NG DN PF</t>
  </si>
  <si>
    <t>NGSA-KGWA Pilot</t>
  </si>
  <si>
    <t>NGSA DN PF</t>
  </si>
  <si>
    <t>N68Ng</t>
  </si>
  <si>
    <t xml:space="preserve">PYID  </t>
  </si>
  <si>
    <t>BIET UP PF</t>
  </si>
  <si>
    <t>N69Bi</t>
  </si>
  <si>
    <t>DEPOT</t>
  </si>
  <si>
    <t>N70</t>
  </si>
  <si>
    <t>SPGD DN PF</t>
  </si>
  <si>
    <t>N71Sp</t>
  </si>
  <si>
    <t>JIDL UP PF</t>
  </si>
  <si>
    <t>JIDL UP</t>
  </si>
  <si>
    <t>N72Jd</t>
  </si>
  <si>
    <t>BIET DN PF</t>
  </si>
  <si>
    <t>BIET-NGSA Pilot</t>
  </si>
  <si>
    <t>N73Bi</t>
  </si>
  <si>
    <t>Pro 3</t>
  </si>
  <si>
    <t>PRO3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</si>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</sst>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sz val="11"/>
      <color theme="1"/>
      <name val="Arial Narrow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Tahoma"/>
      <family val="2"/>
    </font>
    <font>
      <sz val="8"/>
      <color theme="1"/>
      <name val="Arial Narrow"/>
      <family val="2"/>
    </font>
    <font>
      <sz val="12"/>
      <name val="Arial Narrow"/>
      <family val="2"/>
    </font>
    <font>
      <u/>
      <sz val="12"/>
      <color theme="1"/>
      <name val="Arial Narrow"/>
      <family val="2"/>
    </font>
    <font>
      <b/>
      <sz val="12"/>
      <color theme="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20" fontId="7" fillId="0" borderId="3" xfId="0" applyNumberFormat="1" applyFont="1" applyFill="1" applyBorder="1" applyAlignment="1">
      <alignment horizontal="center" vertical="center" wrapText="1"/>
    </xf>
    <xf numFmtId="20" fontId="8" fillId="0" borderId="3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164" fontId="8" fillId="0" borderId="3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20" fontId="7" fillId="0" borderId="3" xfId="0" applyNumberFormat="1" applyFont="1" applyFill="1" applyBorder="1" applyAlignment="1">
      <alignment horizontal="center" vertical="center"/>
    </xf>
    <xf numFmtId="20" fontId="8" fillId="0" borderId="3" xfId="0" applyNumberFormat="1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4" fontId="11" fillId="0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Fill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/>
    </xf>
    <xf numFmtId="164" fontId="8" fillId="4" borderId="3" xfId="1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horizontal="center" vertical="center" wrapText="1"/>
    </xf>
    <xf numFmtId="20" fontId="7" fillId="0" borderId="3" xfId="1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20" fontId="8" fillId="4" borderId="3" xfId="1" applyNumberFormat="1" applyFont="1" applyFill="1" applyBorder="1" applyAlignment="1">
      <alignment horizontal="center" vertical="center"/>
    </xf>
    <xf numFmtId="20" fontId="7" fillId="4" borderId="3" xfId="1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/>
    </xf>
    <xf numFmtId="0" fontId="12" fillId="0" borderId="3" xfId="0" applyFont="1" applyFill="1" applyBorder="1" applyAlignment="1">
      <alignment horizontal="center" vertical="center"/>
    </xf>
    <xf numFmtId="164" fontId="9" fillId="0" borderId="0" xfId="0" applyNumberFormat="1" applyFont="1" applyFill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164" fontId="11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164" fontId="11" fillId="0" borderId="4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Normal 10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65606D\August'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)%20Present%20Running%20Link%20&amp;%20TT\New%20Time%20tables\03)%20L2_All%20Saturday%20&amp;%20GH%2015-0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S-BIET SAT 5.5 MIN 21 TRAINS"/>
      <sheetName val="HW_S_APTS to BIET 05_08_05 MINS"/>
      <sheetName val="Trip Sheet"/>
      <sheetName val="A3 Print"/>
      <sheetName val="All Old Sat &amp; GH Link"/>
      <sheetName val="Print all Sat &amp; GH TT"/>
      <sheetName val="Sat CRRC link "/>
      <sheetName val="CRRC 2 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FF"/>
  </sheetPr>
  <dimension ref="A1:BM114"/>
  <sheetViews>
    <sheetView tabSelected="1" view="pageBreakPreview" zoomScaleNormal="100" zoomScaleSheetLayoutView="100" workbookViewId="0">
      <selection activeCell="S14" sqref="S14"/>
    </sheetView>
  </sheetViews>
  <sheetFormatPr defaultColWidth="9.140625" defaultRowHeight="16.5" x14ac:dyDescent="0.25"/>
  <cols>
    <col min="1" max="1" width="6" style="5" customWidth="1"/>
    <col min="2" max="2" width="6.42578125" style="99" customWidth="1"/>
    <col min="3" max="3" width="12.140625" style="5" customWidth="1"/>
    <col min="4" max="4" width="6.42578125" style="5" customWidth="1"/>
    <col min="5" max="7" width="6.42578125" style="99" customWidth="1"/>
    <col min="8" max="8" width="12.7109375" style="5" customWidth="1"/>
    <col min="9" max="9" width="6.42578125" style="99" customWidth="1"/>
    <col min="10" max="10" width="1" style="5" customWidth="1"/>
    <col min="11" max="11" width="9.85546875" style="5" customWidth="1"/>
    <col min="12" max="12" width="6.42578125" style="5" customWidth="1"/>
    <col min="13" max="15" width="6.42578125" style="99" customWidth="1"/>
    <col min="16" max="16" width="10.7109375" style="5" customWidth="1"/>
    <col min="17" max="17" width="6.42578125" style="99" customWidth="1"/>
    <col min="18" max="18" width="1.28515625" style="5" customWidth="1"/>
    <col min="19" max="19" width="12.28515625" style="5" customWidth="1"/>
    <col min="20" max="20" width="6.42578125" style="5" customWidth="1"/>
    <col min="21" max="22" width="6.42578125" style="99" customWidth="1"/>
    <col min="23" max="23" width="6.7109375" style="99" customWidth="1"/>
    <col min="24" max="24" width="12.140625" style="5" customWidth="1"/>
    <col min="25" max="25" width="6.42578125" style="99" customWidth="1"/>
    <col min="26" max="26" width="9.140625" style="5" customWidth="1"/>
    <col min="27" max="27" width="5.7109375" style="5" customWidth="1"/>
    <col min="28" max="28" width="7.5703125" style="99" customWidth="1"/>
    <col min="29" max="30" width="7.140625" style="3" customWidth="1"/>
    <col min="31" max="31" width="8.7109375" style="3" customWidth="1"/>
    <col min="32" max="32" width="8.7109375" style="4" customWidth="1"/>
    <col min="33" max="33" width="7.85546875" style="5" customWidth="1"/>
    <col min="34" max="16384" width="9.140625" style="5"/>
  </cols>
  <sheetData>
    <row r="1" spans="1:65" ht="30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65" s="13" customFormat="1" ht="27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/>
      <c r="K2" s="6" t="s">
        <v>10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11</v>
      </c>
      <c r="R2" s="6"/>
      <c r="S2" s="6" t="s">
        <v>10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12</v>
      </c>
      <c r="Z2" s="6" t="s">
        <v>13</v>
      </c>
      <c r="AA2" s="6" t="s">
        <v>14</v>
      </c>
      <c r="AB2" s="7" t="s">
        <v>15</v>
      </c>
      <c r="AC2" s="8" t="s">
        <v>16</v>
      </c>
      <c r="AD2" s="9" t="s">
        <v>9</v>
      </c>
      <c r="AE2" s="10" t="s">
        <v>17</v>
      </c>
      <c r="AF2" s="11" t="s">
        <v>18</v>
      </c>
      <c r="AG2" s="12"/>
    </row>
    <row r="3" spans="1:65" s="21" customFormat="1" ht="18" customHeight="1" x14ac:dyDescent="0.25">
      <c r="A3" s="14">
        <v>1</v>
      </c>
      <c r="B3" s="15">
        <v>0.25</v>
      </c>
      <c r="C3" s="14" t="s">
        <v>19</v>
      </c>
      <c r="D3" s="16" t="s">
        <v>20</v>
      </c>
      <c r="E3" s="17"/>
      <c r="F3" s="18"/>
      <c r="G3" s="19"/>
      <c r="H3" s="20"/>
      <c r="J3" s="16"/>
      <c r="K3" s="20"/>
      <c r="L3" s="22"/>
      <c r="M3" s="22"/>
      <c r="N3" s="22"/>
      <c r="O3" s="22"/>
      <c r="P3" s="23"/>
      <c r="Q3" s="16"/>
      <c r="R3" s="16"/>
      <c r="S3" s="16"/>
      <c r="T3" s="16" t="s">
        <v>20</v>
      </c>
      <c r="U3" s="16"/>
      <c r="V3" s="16"/>
      <c r="W3" s="24"/>
      <c r="X3" s="16"/>
      <c r="Y3" s="15">
        <v>0.58333333333333326</v>
      </c>
      <c r="Z3" s="14" t="s">
        <v>21</v>
      </c>
      <c r="AA3" s="20"/>
      <c r="AB3" s="20"/>
      <c r="AC3" s="25">
        <f>MOD((Y3-B3),1)</f>
        <v>0.33333333333333326</v>
      </c>
      <c r="AD3" s="20"/>
      <c r="AE3" s="20"/>
      <c r="AF3" s="20" t="s">
        <v>22</v>
      </c>
      <c r="AG3" s="26"/>
      <c r="AM3" s="27"/>
      <c r="AP3" s="28"/>
      <c r="AQ3" s="29"/>
      <c r="AR3" s="28"/>
      <c r="AS3" s="28"/>
    </row>
    <row r="4" spans="1:65" s="21" customFormat="1" ht="18" customHeight="1" x14ac:dyDescent="0.25">
      <c r="A4" s="14">
        <v>2</v>
      </c>
      <c r="B4" s="15">
        <v>0.26041666666666669</v>
      </c>
      <c r="C4" s="14" t="s">
        <v>23</v>
      </c>
      <c r="D4" s="30" t="s">
        <v>24</v>
      </c>
      <c r="E4" s="31"/>
      <c r="F4" s="32"/>
      <c r="G4" s="19"/>
      <c r="H4" s="20"/>
      <c r="I4" s="19"/>
      <c r="J4" s="20"/>
      <c r="K4" s="20"/>
      <c r="L4" s="22"/>
      <c r="M4" s="22"/>
      <c r="N4" s="22"/>
      <c r="O4" s="22"/>
      <c r="P4" s="20"/>
      <c r="Q4" s="15"/>
      <c r="R4" s="20"/>
      <c r="S4" s="20"/>
      <c r="T4" s="30" t="s">
        <v>24</v>
      </c>
      <c r="U4" s="20"/>
      <c r="V4" s="20"/>
      <c r="W4" s="19"/>
      <c r="X4" s="20"/>
      <c r="Y4" s="15">
        <v>0.59375</v>
      </c>
      <c r="Z4" s="14" t="s">
        <v>23</v>
      </c>
      <c r="AA4" s="20"/>
      <c r="AB4" s="20"/>
      <c r="AC4" s="25">
        <f t="shared" ref="AC4:AC8" si="0">MOD((Y4-B4),1)</f>
        <v>0.33333333333333331</v>
      </c>
      <c r="AD4" s="20"/>
      <c r="AE4" s="20"/>
      <c r="AF4" s="20" t="s">
        <v>25</v>
      </c>
      <c r="AG4" s="26"/>
    </row>
    <row r="5" spans="1:65" s="21" customFormat="1" ht="18" customHeight="1" x14ac:dyDescent="0.25">
      <c r="A5" s="14">
        <v>3</v>
      </c>
      <c r="B5" s="15">
        <v>0.25</v>
      </c>
      <c r="C5" s="14" t="s">
        <v>26</v>
      </c>
      <c r="D5" s="20">
        <v>206</v>
      </c>
      <c r="E5" s="33">
        <v>0.2590277777777778</v>
      </c>
      <c r="F5" s="19">
        <v>0.32513888888888898</v>
      </c>
      <c r="G5" s="19">
        <f>MOD(F5-E5,1)</f>
        <v>6.6111111111111176E-2</v>
      </c>
      <c r="H5" s="20"/>
      <c r="I5" s="34">
        <f>M5-F5</f>
        <v>1.5277777777777779E-2</v>
      </c>
      <c r="J5" s="16"/>
      <c r="L5" s="20">
        <v>208</v>
      </c>
      <c r="M5" s="19">
        <v>0.34041666666666676</v>
      </c>
      <c r="N5" s="19">
        <v>0.43208333333333288</v>
      </c>
      <c r="O5" s="19">
        <f>MOD(N5-M5,1)</f>
        <v>9.1666666666666119E-2</v>
      </c>
      <c r="Q5" s="34">
        <f t="shared" ref="Q5:Q7" si="1">U5-N5</f>
        <v>2.2916666666666585E-2</v>
      </c>
      <c r="R5" s="16"/>
      <c r="S5" s="20"/>
      <c r="T5" s="35">
        <v>211</v>
      </c>
      <c r="U5" s="36">
        <v>0.45499999999999946</v>
      </c>
      <c r="V5" s="36">
        <v>0.4861111111111111</v>
      </c>
      <c r="W5" s="36">
        <f>MOD(V5-U5,1)</f>
        <v>3.1111111111111645E-2</v>
      </c>
      <c r="X5" s="35" t="s">
        <v>27</v>
      </c>
      <c r="Y5" s="34">
        <v>0.52083333333333337</v>
      </c>
      <c r="Z5" s="37" t="s">
        <v>28</v>
      </c>
      <c r="AA5" s="14"/>
      <c r="AB5" s="34">
        <f t="shared" ref="AB5:AB7" si="2">G5+O5+W5</f>
        <v>0.18888888888888894</v>
      </c>
      <c r="AC5" s="25">
        <f t="shared" si="0"/>
        <v>0.27083333333333337</v>
      </c>
      <c r="AD5" s="15">
        <f>I5+Q5</f>
        <v>3.8194444444444364E-2</v>
      </c>
      <c r="AE5" s="24"/>
      <c r="AF5" s="14" t="s">
        <v>29</v>
      </c>
      <c r="AG5" s="38"/>
    </row>
    <row r="6" spans="1:65" s="42" customFormat="1" ht="18" customHeight="1" x14ac:dyDescent="0.25">
      <c r="A6" s="14">
        <v>4</v>
      </c>
      <c r="B6" s="34">
        <f>E6-TIME(0,15,0)</f>
        <v>0.25</v>
      </c>
      <c r="C6" s="37" t="s">
        <v>30</v>
      </c>
      <c r="D6" s="35">
        <v>213</v>
      </c>
      <c r="E6" s="39">
        <v>0.26041666666666669</v>
      </c>
      <c r="F6" s="36">
        <v>0.33659722222222221</v>
      </c>
      <c r="G6" s="36">
        <f>MOD(F6-E6,1)</f>
        <v>7.6180555555555529E-2</v>
      </c>
      <c r="H6" s="35"/>
      <c r="I6" s="34">
        <f>M6-F6</f>
        <v>2.2916666666666585E-2</v>
      </c>
      <c r="J6" s="35"/>
      <c r="K6" s="35"/>
      <c r="L6" s="35">
        <v>216</v>
      </c>
      <c r="M6" s="36">
        <v>0.3595138888888888</v>
      </c>
      <c r="N6" s="36">
        <v>0.42826388888888861</v>
      </c>
      <c r="O6" s="36">
        <f>MOD(N6-M6,1)</f>
        <v>6.8749999999999811E-2</v>
      </c>
      <c r="P6" s="40"/>
      <c r="Q6" s="34">
        <f t="shared" si="1"/>
        <v>1.9097222222221988E-2</v>
      </c>
      <c r="R6" s="36"/>
      <c r="S6" s="35"/>
      <c r="T6" s="20">
        <v>210</v>
      </c>
      <c r="U6" s="19">
        <v>0.4473611111111106</v>
      </c>
      <c r="V6" s="19">
        <v>0.53972222222222188</v>
      </c>
      <c r="W6" s="19">
        <f>MOD(V6-U6,1)</f>
        <v>9.2361111111111283E-2</v>
      </c>
      <c r="X6" s="20"/>
      <c r="Y6" s="15">
        <v>0.54513888888888895</v>
      </c>
      <c r="Z6" s="14" t="s">
        <v>21</v>
      </c>
      <c r="AA6" s="35"/>
      <c r="AB6" s="34">
        <f t="shared" si="2"/>
        <v>0.23729166666666662</v>
      </c>
      <c r="AC6" s="25">
        <f t="shared" si="0"/>
        <v>0.29513888888888895</v>
      </c>
      <c r="AD6" s="34">
        <f t="shared" ref="AD6:AD71" si="3">I6+Q6</f>
        <v>4.2013888888888573E-2</v>
      </c>
      <c r="AE6" s="36"/>
      <c r="AF6" s="37" t="s">
        <v>31</v>
      </c>
      <c r="AG6" s="41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spans="1:65" s="21" customFormat="1" ht="18" customHeight="1" x14ac:dyDescent="0.25">
      <c r="A7" s="14">
        <v>5</v>
      </c>
      <c r="B7" s="15">
        <v>0.25347222222222221</v>
      </c>
      <c r="C7" s="43" t="s">
        <v>32</v>
      </c>
      <c r="D7" s="20">
        <v>214</v>
      </c>
      <c r="E7" s="19">
        <v>0.26041666666666669</v>
      </c>
      <c r="F7" s="19">
        <v>0.34423611111111108</v>
      </c>
      <c r="G7" s="19">
        <f>MOD(F7-E7,1)</f>
        <v>8.3819444444444391E-2</v>
      </c>
      <c r="H7" s="20"/>
      <c r="I7" s="15">
        <f>M7-F7</f>
        <v>2.6736111111110905E-2</v>
      </c>
      <c r="J7" s="20"/>
      <c r="K7" s="20"/>
      <c r="L7" s="20">
        <v>201</v>
      </c>
      <c r="M7" s="19">
        <v>0.37097222222222198</v>
      </c>
      <c r="N7" s="19">
        <v>0.46263888888888832</v>
      </c>
      <c r="O7" s="19">
        <f>MOD(N7-M7,1)</f>
        <v>9.1666666666666341E-2</v>
      </c>
      <c r="P7" s="20"/>
      <c r="Q7" s="34">
        <f t="shared" si="1"/>
        <v>1.5277777777777724E-2</v>
      </c>
      <c r="R7" s="20"/>
      <c r="S7" s="20"/>
      <c r="T7" s="20">
        <v>203</v>
      </c>
      <c r="U7" s="19">
        <v>0.47791666666666605</v>
      </c>
      <c r="V7" s="19">
        <v>0.50694444444444442</v>
      </c>
      <c r="W7" s="19">
        <f>MOD(V7-U7,1)</f>
        <v>2.9027777777778374E-2</v>
      </c>
      <c r="X7" s="20" t="s">
        <v>27</v>
      </c>
      <c r="Y7" s="15">
        <v>0.58680555555555558</v>
      </c>
      <c r="Z7" s="14" t="s">
        <v>21</v>
      </c>
      <c r="AA7" s="20"/>
      <c r="AB7" s="34">
        <f t="shared" si="2"/>
        <v>0.20451388888888911</v>
      </c>
      <c r="AC7" s="25">
        <f t="shared" si="0"/>
        <v>0.33333333333333337</v>
      </c>
      <c r="AD7" s="15">
        <f t="shared" si="3"/>
        <v>4.2013888888888629E-2</v>
      </c>
      <c r="AE7" s="19"/>
      <c r="AF7" s="20" t="s">
        <v>33</v>
      </c>
      <c r="AG7" s="26"/>
    </row>
    <row r="8" spans="1:65" s="21" customFormat="1" ht="18" customHeight="1" x14ac:dyDescent="0.25">
      <c r="A8" s="14">
        <v>6</v>
      </c>
      <c r="B8" s="15">
        <v>0.25347222222222221</v>
      </c>
      <c r="C8" s="14" t="s">
        <v>19</v>
      </c>
      <c r="D8" s="20">
        <v>211</v>
      </c>
      <c r="E8" s="19">
        <v>0.26263888888888881</v>
      </c>
      <c r="F8" s="19">
        <v>0.36333333333333312</v>
      </c>
      <c r="G8" s="19">
        <f>MOD(F8-E8,1)</f>
        <v>0.10069444444444431</v>
      </c>
      <c r="H8" s="20"/>
      <c r="I8" s="15">
        <f>M8-F8</f>
        <v>2.6736111111111127E-2</v>
      </c>
      <c r="J8" s="20"/>
      <c r="K8" s="20"/>
      <c r="L8" s="20">
        <v>220</v>
      </c>
      <c r="M8" s="19">
        <v>0.39006944444444425</v>
      </c>
      <c r="N8" s="19">
        <v>0.45881944444444406</v>
      </c>
      <c r="O8" s="19">
        <f>MOD(N8-M8,1)</f>
        <v>6.8749999999999811E-2</v>
      </c>
      <c r="P8" s="20"/>
      <c r="Q8" s="34">
        <f>U8-N8</f>
        <v>2.673611111111085E-2</v>
      </c>
      <c r="R8" s="20"/>
      <c r="S8" s="20"/>
      <c r="T8" s="20">
        <v>212</v>
      </c>
      <c r="U8" s="19">
        <v>0.48555555555555491</v>
      </c>
      <c r="V8" s="19">
        <v>0.57861111111111085</v>
      </c>
      <c r="W8" s="19">
        <f>MOD(V8-U8,1)</f>
        <v>9.3055555555555947E-2</v>
      </c>
      <c r="X8" s="20"/>
      <c r="Y8" s="15">
        <v>0.58333333333333337</v>
      </c>
      <c r="Z8" s="14" t="s">
        <v>21</v>
      </c>
      <c r="AA8" s="20"/>
      <c r="AB8" s="34">
        <f>G8+O8+W8</f>
        <v>0.26250000000000007</v>
      </c>
      <c r="AC8" s="25">
        <f t="shared" si="0"/>
        <v>0.32986111111111116</v>
      </c>
      <c r="AD8" s="15">
        <f t="shared" si="3"/>
        <v>5.3472222222221977E-2</v>
      </c>
      <c r="AE8" s="19"/>
      <c r="AF8" s="14" t="s">
        <v>34</v>
      </c>
      <c r="AG8" s="38"/>
    </row>
    <row r="9" spans="1:65" s="21" customFormat="1" ht="18" customHeight="1" x14ac:dyDescent="0.25">
      <c r="A9" s="14"/>
      <c r="B9" s="15"/>
      <c r="C9" s="14"/>
      <c r="D9" s="20"/>
      <c r="E9" s="19"/>
      <c r="F9" s="19"/>
      <c r="G9" s="19"/>
      <c r="H9" s="20"/>
      <c r="I9" s="15"/>
      <c r="J9" s="20"/>
      <c r="K9" s="20"/>
      <c r="L9" s="20"/>
      <c r="M9" s="19"/>
      <c r="N9" s="19"/>
      <c r="O9" s="19"/>
      <c r="P9" s="20"/>
      <c r="Q9" s="15"/>
      <c r="R9" s="20"/>
      <c r="S9" s="20"/>
      <c r="T9" s="20"/>
      <c r="U9" s="19"/>
      <c r="V9" s="19"/>
      <c r="W9" s="19"/>
      <c r="X9" s="20"/>
      <c r="Y9" s="15"/>
      <c r="Z9" s="14"/>
      <c r="AA9" s="20"/>
      <c r="AB9" s="15"/>
      <c r="AC9" s="25"/>
      <c r="AD9" s="15"/>
      <c r="AE9" s="19"/>
      <c r="AF9" s="14"/>
      <c r="AG9" s="38"/>
    </row>
    <row r="10" spans="1:65" s="21" customFormat="1" ht="18" customHeight="1" x14ac:dyDescent="0.25">
      <c r="A10" s="14">
        <v>7</v>
      </c>
      <c r="B10" s="15">
        <f>E10-TIME(0,15,0)</f>
        <v>0.25694444444444442</v>
      </c>
      <c r="C10" s="14" t="s">
        <v>35</v>
      </c>
      <c r="D10" s="20">
        <v>208</v>
      </c>
      <c r="E10" s="33">
        <v>0.2673611111111111</v>
      </c>
      <c r="F10" s="19">
        <v>0.34041666666666676</v>
      </c>
      <c r="G10" s="19">
        <f t="shared" ref="G10:G16" si="4">MOD(F10-E10,1)</f>
        <v>7.3055555555555651E-2</v>
      </c>
      <c r="H10" s="20"/>
      <c r="I10" s="15">
        <f t="shared" ref="I10:I16" si="5">M10-F10</f>
        <v>2.6736111111110905E-2</v>
      </c>
      <c r="J10" s="20"/>
      <c r="K10" s="20"/>
      <c r="L10" s="20">
        <v>217</v>
      </c>
      <c r="M10" s="19">
        <v>0.36715277777777766</v>
      </c>
      <c r="N10" s="19">
        <v>0.43590277777777747</v>
      </c>
      <c r="O10" s="19">
        <f t="shared" ref="O10:O16" si="6">MOD(N10-M10,1)</f>
        <v>6.8749999999999811E-2</v>
      </c>
      <c r="P10" s="20"/>
      <c r="Q10" s="15">
        <f t="shared" ref="Q10:Q16" si="7">U10-N10</f>
        <v>2.673611111111085E-2</v>
      </c>
      <c r="R10" s="19"/>
      <c r="S10" s="20"/>
      <c r="T10" s="20">
        <v>201</v>
      </c>
      <c r="U10" s="19">
        <v>0.46263888888888832</v>
      </c>
      <c r="V10" s="19">
        <v>0.55638888888888893</v>
      </c>
      <c r="W10" s="19">
        <f t="shared" ref="W10:W16" si="8">MOD(V10-U10,1)</f>
        <v>9.3750000000000611E-2</v>
      </c>
      <c r="X10" s="20"/>
      <c r="Y10" s="15">
        <v>0.5625</v>
      </c>
      <c r="Z10" s="14" t="s">
        <v>21</v>
      </c>
      <c r="AA10" s="20"/>
      <c r="AB10" s="15">
        <f t="shared" ref="AB10:AB16" si="9">G10+O10+W10</f>
        <v>0.23555555555555607</v>
      </c>
      <c r="AC10" s="25">
        <f t="shared" ref="AC10:AC16" si="10">MOD(Y10-B10,1)</f>
        <v>0.30555555555555558</v>
      </c>
      <c r="AD10" s="15">
        <f t="shared" si="3"/>
        <v>5.3472222222221755E-2</v>
      </c>
      <c r="AE10" s="19"/>
      <c r="AF10" s="20" t="s">
        <v>36</v>
      </c>
      <c r="AG10" s="38"/>
    </row>
    <row r="11" spans="1:65" s="21" customFormat="1" ht="18" customHeight="1" x14ac:dyDescent="0.25">
      <c r="A11" s="14">
        <v>8</v>
      </c>
      <c r="B11" s="15">
        <v>0.25694444444444448</v>
      </c>
      <c r="C11" s="14" t="s">
        <v>26</v>
      </c>
      <c r="D11" s="20">
        <v>207</v>
      </c>
      <c r="E11" s="33">
        <v>0.26944444444444443</v>
      </c>
      <c r="F11" s="19">
        <v>0.33277777777777784</v>
      </c>
      <c r="G11" s="19">
        <f t="shared" si="4"/>
        <v>6.3333333333333408E-2</v>
      </c>
      <c r="H11" s="20"/>
      <c r="I11" s="15">
        <f t="shared" si="5"/>
        <v>2.2916666666666419E-2</v>
      </c>
      <c r="J11" s="20"/>
      <c r="K11" s="23"/>
      <c r="L11" s="20">
        <v>210</v>
      </c>
      <c r="M11" s="19">
        <v>0.35569444444444426</v>
      </c>
      <c r="N11" s="19">
        <v>0.4473611111111106</v>
      </c>
      <c r="O11" s="19">
        <f t="shared" si="6"/>
        <v>9.1666666666666341E-2</v>
      </c>
      <c r="P11" s="23"/>
      <c r="Q11" s="15">
        <f t="shared" si="7"/>
        <v>2.6736111111111183E-2</v>
      </c>
      <c r="R11" s="19"/>
      <c r="S11" s="20"/>
      <c r="T11" s="20">
        <v>213</v>
      </c>
      <c r="U11" s="19">
        <v>0.47409722222222178</v>
      </c>
      <c r="V11" s="19">
        <v>0.56749999999999989</v>
      </c>
      <c r="W11" s="19">
        <f t="shared" si="8"/>
        <v>9.3402777777778112E-2</v>
      </c>
      <c r="X11" s="20"/>
      <c r="Y11" s="15">
        <v>0.57291666666666663</v>
      </c>
      <c r="Z11" s="14" t="s">
        <v>21</v>
      </c>
      <c r="AA11" s="20"/>
      <c r="AB11" s="15">
        <f t="shared" si="9"/>
        <v>0.24840277777777786</v>
      </c>
      <c r="AC11" s="25">
        <f t="shared" si="10"/>
        <v>0.31597222222222215</v>
      </c>
      <c r="AD11" s="15">
        <f t="shared" si="3"/>
        <v>4.9652777777777601E-2</v>
      </c>
      <c r="AE11" s="19"/>
      <c r="AF11" s="20" t="s">
        <v>37</v>
      </c>
      <c r="AG11" s="26"/>
    </row>
    <row r="12" spans="1:65" s="21" customFormat="1" ht="18" customHeight="1" x14ac:dyDescent="0.25">
      <c r="A12" s="14">
        <v>9</v>
      </c>
      <c r="B12" s="15">
        <v>0.27083333333333331</v>
      </c>
      <c r="C12" s="14" t="s">
        <v>35</v>
      </c>
      <c r="D12" s="20">
        <v>210</v>
      </c>
      <c r="E12" s="33">
        <v>0.28263888888888888</v>
      </c>
      <c r="F12" s="19">
        <v>0.35569444444444426</v>
      </c>
      <c r="G12" s="19">
        <f>MOD(F12-E12,1)</f>
        <v>7.3055555555555374E-2</v>
      </c>
      <c r="H12" s="20"/>
      <c r="I12" s="15">
        <f t="shared" si="5"/>
        <v>2.2916666666666585E-2</v>
      </c>
      <c r="J12" s="20"/>
      <c r="K12" s="20"/>
      <c r="L12" s="20">
        <v>202</v>
      </c>
      <c r="M12" s="19">
        <v>0.37861111111111084</v>
      </c>
      <c r="N12" s="19">
        <v>0.47027777777777718</v>
      </c>
      <c r="O12" s="19">
        <f t="shared" si="6"/>
        <v>9.1666666666666341E-2</v>
      </c>
      <c r="P12" s="20"/>
      <c r="Q12" s="15">
        <f t="shared" si="7"/>
        <v>2.6736111111111183E-2</v>
      </c>
      <c r="R12" s="20"/>
      <c r="S12" s="20"/>
      <c r="T12" s="20">
        <v>216</v>
      </c>
      <c r="U12" s="19">
        <v>0.49701388888888837</v>
      </c>
      <c r="V12" s="19">
        <v>0.59527777777777691</v>
      </c>
      <c r="W12" s="19">
        <f t="shared" si="8"/>
        <v>9.826388888888854E-2</v>
      </c>
      <c r="X12" s="20"/>
      <c r="Y12" s="15">
        <v>0.59722222222222221</v>
      </c>
      <c r="Z12" s="14" t="s">
        <v>21</v>
      </c>
      <c r="AA12" s="20"/>
      <c r="AB12" s="15">
        <f t="shared" si="9"/>
        <v>0.26298611111111025</v>
      </c>
      <c r="AC12" s="25">
        <f t="shared" si="10"/>
        <v>0.3263888888888889</v>
      </c>
      <c r="AD12" s="15">
        <f t="shared" si="3"/>
        <v>4.9652777777777768E-2</v>
      </c>
      <c r="AE12" s="19"/>
      <c r="AF12" s="14" t="s">
        <v>38</v>
      </c>
      <c r="AG12" s="26"/>
    </row>
    <row r="13" spans="1:65" s="21" customFormat="1" ht="18" customHeight="1" x14ac:dyDescent="0.25">
      <c r="A13" s="14">
        <v>10</v>
      </c>
      <c r="B13" s="15">
        <v>0.2638888888888889</v>
      </c>
      <c r="C13" s="14" t="s">
        <v>19</v>
      </c>
      <c r="D13" s="20">
        <v>201</v>
      </c>
      <c r="E13" s="19">
        <v>0.27305555555555555</v>
      </c>
      <c r="F13" s="19">
        <v>0.37097222222222198</v>
      </c>
      <c r="G13" s="19">
        <f t="shared" si="4"/>
        <v>9.791666666666643E-2</v>
      </c>
      <c r="H13" s="20"/>
      <c r="I13" s="15">
        <f t="shared" si="5"/>
        <v>2.6736111111111127E-2</v>
      </c>
      <c r="J13" s="30"/>
      <c r="K13" s="30"/>
      <c r="L13" s="20">
        <v>221</v>
      </c>
      <c r="M13" s="19">
        <v>0.39770833333333311</v>
      </c>
      <c r="N13" s="19">
        <v>0.46645833333333292</v>
      </c>
      <c r="O13" s="19">
        <f t="shared" si="6"/>
        <v>6.8749999999999811E-2</v>
      </c>
      <c r="P13" s="20"/>
      <c r="Q13" s="15">
        <f t="shared" si="7"/>
        <v>2.673611111111085E-2</v>
      </c>
      <c r="R13" s="30"/>
      <c r="S13" s="20"/>
      <c r="T13" s="20">
        <v>204</v>
      </c>
      <c r="U13" s="19">
        <v>0.49319444444444377</v>
      </c>
      <c r="V13" s="19">
        <v>0.58972222222222193</v>
      </c>
      <c r="W13" s="19">
        <f t="shared" si="8"/>
        <v>9.6527777777778156E-2</v>
      </c>
      <c r="X13" s="20"/>
      <c r="Y13" s="15">
        <v>0.59375</v>
      </c>
      <c r="Z13" s="14" t="s">
        <v>21</v>
      </c>
      <c r="AA13" s="20"/>
      <c r="AB13" s="15">
        <f t="shared" si="9"/>
        <v>0.2631944444444444</v>
      </c>
      <c r="AC13" s="25">
        <f t="shared" si="10"/>
        <v>0.3298611111111111</v>
      </c>
      <c r="AD13" s="15">
        <f t="shared" si="3"/>
        <v>5.3472222222221977E-2</v>
      </c>
      <c r="AE13" s="19"/>
      <c r="AF13" s="14" t="s">
        <v>39</v>
      </c>
      <c r="AG13" s="26"/>
    </row>
    <row r="14" spans="1:65" s="21" customFormat="1" ht="18" customHeight="1" x14ac:dyDescent="0.25">
      <c r="A14" s="14">
        <v>11</v>
      </c>
      <c r="B14" s="15">
        <f>E14-TIME(0,15,0)</f>
        <v>0.26388888888888884</v>
      </c>
      <c r="C14" s="14" t="s">
        <v>40</v>
      </c>
      <c r="D14" s="20">
        <v>217</v>
      </c>
      <c r="E14" s="19">
        <v>0.27430555555555552</v>
      </c>
      <c r="F14" s="19">
        <v>0.36715277777777766</v>
      </c>
      <c r="G14" s="19">
        <f t="shared" si="4"/>
        <v>9.2847222222222137E-2</v>
      </c>
      <c r="H14" s="20"/>
      <c r="I14" s="15">
        <f t="shared" si="5"/>
        <v>2.6736111111110905E-2</v>
      </c>
      <c r="J14" s="20"/>
      <c r="K14" s="20"/>
      <c r="L14" s="20">
        <v>212</v>
      </c>
      <c r="M14" s="19">
        <v>0.39388888888888857</v>
      </c>
      <c r="N14" s="19">
        <v>0.48555555555555491</v>
      </c>
      <c r="O14" s="19">
        <f t="shared" si="6"/>
        <v>9.1666666666666341E-2</v>
      </c>
      <c r="P14" s="30"/>
      <c r="Q14" s="15">
        <f t="shared" si="7"/>
        <v>3.6111111111111704E-2</v>
      </c>
      <c r="R14" s="20"/>
      <c r="S14" s="20"/>
      <c r="T14" s="20">
        <v>208</v>
      </c>
      <c r="U14" s="19">
        <v>0.52166666666666661</v>
      </c>
      <c r="V14" s="33">
        <v>0.54652777777777783</v>
      </c>
      <c r="W14" s="19">
        <f t="shared" si="8"/>
        <v>2.4861111111111223E-2</v>
      </c>
      <c r="X14" s="20" t="s">
        <v>35</v>
      </c>
      <c r="Y14" s="15">
        <v>0.55555555555555558</v>
      </c>
      <c r="Z14" s="14" t="s">
        <v>21</v>
      </c>
      <c r="AA14" s="20"/>
      <c r="AB14" s="15">
        <f t="shared" si="9"/>
        <v>0.2093749999999997</v>
      </c>
      <c r="AC14" s="25">
        <f t="shared" si="10"/>
        <v>0.29166666666666674</v>
      </c>
      <c r="AD14" s="15">
        <f t="shared" si="3"/>
        <v>6.284722222222261E-2</v>
      </c>
      <c r="AE14" s="19"/>
      <c r="AF14" s="20" t="s">
        <v>41</v>
      </c>
      <c r="AG14" s="38"/>
    </row>
    <row r="15" spans="1:65" s="21" customFormat="1" ht="18" customHeight="1" x14ac:dyDescent="0.25">
      <c r="A15" s="44">
        <v>12</v>
      </c>
      <c r="B15" s="15">
        <v>0.2638888888888889</v>
      </c>
      <c r="C15" s="14" t="s">
        <v>35</v>
      </c>
      <c r="D15" s="20">
        <v>209</v>
      </c>
      <c r="E15" s="33">
        <v>0.27499999999999997</v>
      </c>
      <c r="F15" s="19">
        <v>0.34805555555555562</v>
      </c>
      <c r="G15" s="19">
        <f t="shared" si="4"/>
        <v>7.3055555555555651E-2</v>
      </c>
      <c r="H15" s="20"/>
      <c r="I15" s="15">
        <f t="shared" si="5"/>
        <v>2.6736111111110905E-2</v>
      </c>
      <c r="J15" s="20"/>
      <c r="K15" s="20"/>
      <c r="L15" s="20">
        <v>218</v>
      </c>
      <c r="M15" s="19">
        <v>0.37479166666666652</v>
      </c>
      <c r="N15" s="19">
        <v>0.44354166666666633</v>
      </c>
      <c r="O15" s="19">
        <f t="shared" si="6"/>
        <v>6.8749999999999811E-2</v>
      </c>
      <c r="P15" s="20"/>
      <c r="Q15" s="15">
        <f t="shared" si="7"/>
        <v>2.673611111111085E-2</v>
      </c>
      <c r="R15" s="20"/>
      <c r="S15" s="20"/>
      <c r="T15" s="20">
        <v>202</v>
      </c>
      <c r="U15" s="19">
        <v>0.47027777777777718</v>
      </c>
      <c r="V15" s="19">
        <v>0.56194444444444391</v>
      </c>
      <c r="W15" s="19">
        <f t="shared" si="8"/>
        <v>9.166666666666673E-2</v>
      </c>
      <c r="X15" s="20"/>
      <c r="Y15" s="15">
        <v>0.56944444444444442</v>
      </c>
      <c r="Z15" s="14" t="s">
        <v>21</v>
      </c>
      <c r="AA15" s="20"/>
      <c r="AB15" s="15">
        <f t="shared" si="9"/>
        <v>0.23347222222222219</v>
      </c>
      <c r="AC15" s="25">
        <f t="shared" si="10"/>
        <v>0.30555555555555552</v>
      </c>
      <c r="AD15" s="15">
        <f t="shared" si="3"/>
        <v>5.3472222222221755E-2</v>
      </c>
      <c r="AE15" s="19"/>
      <c r="AF15" s="20" t="s">
        <v>42</v>
      </c>
      <c r="AG15" s="26"/>
    </row>
    <row r="16" spans="1:65" s="21" customFormat="1" ht="18" customHeight="1" x14ac:dyDescent="0.25">
      <c r="A16" s="14">
        <v>13</v>
      </c>
      <c r="B16" s="15">
        <v>0.27430555555555552</v>
      </c>
      <c r="C16" s="43" t="s">
        <v>32</v>
      </c>
      <c r="D16" s="20">
        <v>216</v>
      </c>
      <c r="E16" s="19">
        <v>0.28125</v>
      </c>
      <c r="F16" s="19">
        <v>0.3595138888888888</v>
      </c>
      <c r="G16" s="19">
        <f t="shared" si="4"/>
        <v>7.82638888888888E-2</v>
      </c>
      <c r="H16" s="20"/>
      <c r="I16" s="15">
        <f t="shared" si="5"/>
        <v>2.6736111111110905E-2</v>
      </c>
      <c r="J16" s="23"/>
      <c r="K16" s="23"/>
      <c r="L16" s="20">
        <v>203</v>
      </c>
      <c r="M16" s="19">
        <v>0.3862499999999997</v>
      </c>
      <c r="N16" s="19">
        <v>0.47791666666666605</v>
      </c>
      <c r="O16" s="19">
        <f t="shared" si="6"/>
        <v>9.1666666666666341E-2</v>
      </c>
      <c r="P16" s="20"/>
      <c r="Q16" s="15">
        <f t="shared" si="7"/>
        <v>2.9861111111110838E-2</v>
      </c>
      <c r="R16" s="23"/>
      <c r="S16" s="20"/>
      <c r="T16" s="20">
        <v>206</v>
      </c>
      <c r="U16" s="19">
        <v>0.50777777777777688</v>
      </c>
      <c r="V16" s="19">
        <v>0.60638888888888787</v>
      </c>
      <c r="W16" s="19">
        <f t="shared" si="8"/>
        <v>9.8611111111110983E-2</v>
      </c>
      <c r="X16" s="20"/>
      <c r="Y16" s="15">
        <v>0.60763888888888895</v>
      </c>
      <c r="Z16" s="14" t="s">
        <v>21</v>
      </c>
      <c r="AA16" s="20"/>
      <c r="AB16" s="15">
        <f t="shared" si="9"/>
        <v>0.26854166666666612</v>
      </c>
      <c r="AC16" s="25">
        <f t="shared" si="10"/>
        <v>0.33333333333333343</v>
      </c>
      <c r="AD16" s="15">
        <f t="shared" si="3"/>
        <v>5.6597222222221744E-2</v>
      </c>
      <c r="AE16" s="19"/>
      <c r="AF16" s="20" t="s">
        <v>43</v>
      </c>
      <c r="AG16" s="26"/>
    </row>
    <row r="17" spans="1:33" s="21" customFormat="1" ht="18" customHeight="1" x14ac:dyDescent="0.25">
      <c r="A17" s="14"/>
      <c r="B17" s="15"/>
      <c r="C17" s="14"/>
      <c r="D17" s="20"/>
      <c r="E17" s="19"/>
      <c r="F17" s="19"/>
      <c r="G17" s="19"/>
      <c r="H17" s="20"/>
      <c r="I17" s="15"/>
      <c r="J17" s="23"/>
      <c r="K17" s="23"/>
      <c r="L17" s="20"/>
      <c r="M17" s="19"/>
      <c r="N17" s="19"/>
      <c r="O17" s="19"/>
      <c r="P17" s="20"/>
      <c r="Q17" s="15"/>
      <c r="R17" s="23"/>
      <c r="S17" s="20"/>
      <c r="T17" s="20"/>
      <c r="U17" s="19"/>
      <c r="V17" s="19"/>
      <c r="W17" s="19"/>
      <c r="X17" s="20"/>
      <c r="Y17" s="15"/>
      <c r="Z17" s="14"/>
      <c r="AA17" s="20"/>
      <c r="AB17" s="15"/>
      <c r="AC17" s="25"/>
      <c r="AD17" s="15"/>
      <c r="AE17" s="19"/>
      <c r="AF17" s="20"/>
      <c r="AG17" s="26"/>
    </row>
    <row r="18" spans="1:33" s="21" customFormat="1" ht="18" customHeight="1" x14ac:dyDescent="0.25">
      <c r="A18" s="14">
        <v>14</v>
      </c>
      <c r="B18" s="15">
        <f>E18-TIME(0,15,0)</f>
        <v>0.27083333333333331</v>
      </c>
      <c r="C18" s="14" t="s">
        <v>40</v>
      </c>
      <c r="D18" s="20">
        <v>218</v>
      </c>
      <c r="E18" s="19">
        <v>0.28125</v>
      </c>
      <c r="F18" s="19">
        <v>0.37479166666666652</v>
      </c>
      <c r="G18" s="19">
        <f t="shared" ref="G18:G22" si="11">MOD(F18-E18,1)</f>
        <v>9.3541666666666523E-2</v>
      </c>
      <c r="H18" s="20"/>
      <c r="I18" s="15">
        <f t="shared" ref="I18:I22" si="12">M18-F18</f>
        <v>2.6736111111110905E-2</v>
      </c>
      <c r="J18" s="20"/>
      <c r="K18" s="20"/>
      <c r="L18" s="20">
        <v>204</v>
      </c>
      <c r="M18" s="19">
        <v>0.40152777777777743</v>
      </c>
      <c r="N18" s="19">
        <v>0.49319444444444377</v>
      </c>
      <c r="O18" s="19">
        <f t="shared" ref="O18:O22" si="13">MOD(N18-M18,1)</f>
        <v>9.1666666666666341E-2</v>
      </c>
      <c r="P18" s="20"/>
      <c r="Q18" s="15">
        <f>U18-N18</f>
        <v>4.0972222222222132E-2</v>
      </c>
      <c r="R18" s="19"/>
      <c r="S18" s="20"/>
      <c r="T18" s="20">
        <v>209</v>
      </c>
      <c r="U18" s="19">
        <v>0.5341666666666659</v>
      </c>
      <c r="V18" s="33">
        <v>0.57013888888888886</v>
      </c>
      <c r="W18" s="19">
        <f t="shared" ref="W18:W22" si="14">MOD(V18-U18,1)</f>
        <v>3.597222222222296E-2</v>
      </c>
      <c r="X18" s="20" t="s">
        <v>26</v>
      </c>
      <c r="Y18" s="15">
        <v>0.57638888888888895</v>
      </c>
      <c r="Z18" s="14" t="s">
        <v>44</v>
      </c>
      <c r="AA18" s="20"/>
      <c r="AB18" s="15">
        <f>G18+O18+W18</f>
        <v>0.22118055555555582</v>
      </c>
      <c r="AC18" s="25">
        <f>MOD(Y18-B18,1)</f>
        <v>0.30555555555555564</v>
      </c>
      <c r="AD18" s="15">
        <f t="shared" si="3"/>
        <v>6.7708333333333037E-2</v>
      </c>
      <c r="AE18" s="19"/>
      <c r="AF18" s="14" t="s">
        <v>45</v>
      </c>
      <c r="AG18" s="26"/>
    </row>
    <row r="19" spans="1:33" s="21" customFormat="1" ht="18" customHeight="1" x14ac:dyDescent="0.25">
      <c r="A19" s="14">
        <v>15</v>
      </c>
      <c r="B19" s="15">
        <v>0.27430555555555552</v>
      </c>
      <c r="C19" s="14" t="s">
        <v>19</v>
      </c>
      <c r="D19" s="20">
        <v>202</v>
      </c>
      <c r="E19" s="19">
        <v>0.28347222222222229</v>
      </c>
      <c r="F19" s="19">
        <v>0.37861111111111084</v>
      </c>
      <c r="G19" s="19">
        <f t="shared" si="11"/>
        <v>9.5138888888888551E-2</v>
      </c>
      <c r="H19" s="20"/>
      <c r="I19" s="15">
        <f t="shared" si="12"/>
        <v>2.6736111111111183E-2</v>
      </c>
      <c r="J19" s="20"/>
      <c r="K19" s="20"/>
      <c r="L19" s="20">
        <v>213</v>
      </c>
      <c r="M19" s="19">
        <v>0.40534722222222203</v>
      </c>
      <c r="N19" s="19">
        <v>0.47409722222222178</v>
      </c>
      <c r="O19" s="19">
        <f t="shared" si="13"/>
        <v>6.8749999999999756E-2</v>
      </c>
      <c r="P19" s="23"/>
      <c r="Q19" s="15">
        <f>U19-N19</f>
        <v>2.6736111111110794E-2</v>
      </c>
      <c r="R19" s="20"/>
      <c r="S19" s="20"/>
      <c r="T19" s="20">
        <v>205</v>
      </c>
      <c r="U19" s="19">
        <v>0.50083333333333258</v>
      </c>
      <c r="V19" s="19">
        <v>0.60083333333333289</v>
      </c>
      <c r="W19" s="19">
        <f t="shared" si="14"/>
        <v>0.10000000000000031</v>
      </c>
      <c r="X19" s="20"/>
      <c r="Y19" s="15">
        <v>0.60416666666666663</v>
      </c>
      <c r="Z19" s="14" t="s">
        <v>21</v>
      </c>
      <c r="AA19" s="20"/>
      <c r="AB19" s="15">
        <f>G19+O19+W19</f>
        <v>0.26388888888888862</v>
      </c>
      <c r="AC19" s="25">
        <f>MOD(Y19-B19,1)</f>
        <v>0.3298611111111111</v>
      </c>
      <c r="AD19" s="15">
        <f t="shared" si="3"/>
        <v>5.3472222222221977E-2</v>
      </c>
      <c r="AE19" s="19"/>
      <c r="AF19" s="20" t="s">
        <v>46</v>
      </c>
      <c r="AG19" s="26"/>
    </row>
    <row r="20" spans="1:33" s="21" customFormat="1" ht="18" customHeight="1" x14ac:dyDescent="0.25">
      <c r="A20" s="14">
        <v>16</v>
      </c>
      <c r="B20" s="15">
        <f>E20-TIME(0,15,0)</f>
        <v>0.27777777777777779</v>
      </c>
      <c r="C20" s="14" t="s">
        <v>47</v>
      </c>
      <c r="D20" s="20">
        <v>205</v>
      </c>
      <c r="E20" s="19">
        <v>0.28819444444444448</v>
      </c>
      <c r="F20" s="33">
        <v>0.33749999999999997</v>
      </c>
      <c r="G20" s="19">
        <f t="shared" si="11"/>
        <v>4.9305555555555491E-2</v>
      </c>
      <c r="H20" s="20" t="s">
        <v>35</v>
      </c>
      <c r="I20" s="15">
        <f t="shared" si="12"/>
        <v>2.5833333333333153E-2</v>
      </c>
      <c r="J20" s="16"/>
      <c r="K20" s="19"/>
      <c r="L20" s="20">
        <v>211</v>
      </c>
      <c r="M20" s="19">
        <v>0.36333333333333312</v>
      </c>
      <c r="N20" s="19">
        <v>0.45499999999999946</v>
      </c>
      <c r="O20" s="19">
        <f t="shared" si="13"/>
        <v>9.1666666666666341E-2</v>
      </c>
      <c r="P20" s="16"/>
      <c r="Q20" s="15">
        <f>U20-N20</f>
        <v>2.6736111111111183E-2</v>
      </c>
      <c r="R20" s="16"/>
      <c r="S20" s="20"/>
      <c r="T20" s="20">
        <v>214</v>
      </c>
      <c r="U20" s="19">
        <v>0.48173611111111064</v>
      </c>
      <c r="V20" s="19">
        <v>0.57305555555555487</v>
      </c>
      <c r="W20" s="19">
        <f t="shared" si="14"/>
        <v>9.1319444444444231E-2</v>
      </c>
      <c r="X20" s="20"/>
      <c r="Y20" s="15">
        <v>0.57638888888888895</v>
      </c>
      <c r="Z20" s="14" t="s">
        <v>21</v>
      </c>
      <c r="AA20" s="20"/>
      <c r="AB20" s="15">
        <f>G20+O20+W20</f>
        <v>0.23229166666666606</v>
      </c>
      <c r="AC20" s="25">
        <f>MOD(Y20-B20,1)</f>
        <v>0.29861111111111116</v>
      </c>
      <c r="AD20" s="15">
        <f t="shared" si="3"/>
        <v>5.2569444444444335E-2</v>
      </c>
      <c r="AE20" s="19"/>
      <c r="AF20" s="20" t="s">
        <v>48</v>
      </c>
      <c r="AG20" s="26"/>
    </row>
    <row r="21" spans="1:33" s="21" customFormat="1" ht="18" customHeight="1" x14ac:dyDescent="0.25">
      <c r="A21" s="14">
        <v>17</v>
      </c>
      <c r="B21" s="15">
        <v>0.28125</v>
      </c>
      <c r="C21" s="14" t="s">
        <v>19</v>
      </c>
      <c r="D21" s="20">
        <v>203</v>
      </c>
      <c r="E21" s="19">
        <v>0.29388888888888898</v>
      </c>
      <c r="F21" s="19">
        <v>0.3862499999999997</v>
      </c>
      <c r="G21" s="19">
        <f t="shared" si="11"/>
        <v>9.2361111111110727E-2</v>
      </c>
      <c r="H21" s="20"/>
      <c r="I21" s="15">
        <f t="shared" si="12"/>
        <v>2.6736111111111183E-2</v>
      </c>
      <c r="J21" s="20"/>
      <c r="K21" s="20"/>
      <c r="L21" s="20">
        <v>214</v>
      </c>
      <c r="M21" s="19">
        <v>0.41298611111111089</v>
      </c>
      <c r="N21" s="19">
        <v>0.48173611111111064</v>
      </c>
      <c r="O21" s="19">
        <f t="shared" si="13"/>
        <v>6.8749999999999756E-2</v>
      </c>
      <c r="P21" s="20"/>
      <c r="Q21" s="15">
        <f>U21-N21</f>
        <v>3.2986111111110661E-2</v>
      </c>
      <c r="R21" s="20"/>
      <c r="S21" s="20"/>
      <c r="T21" s="20">
        <v>207</v>
      </c>
      <c r="U21" s="19">
        <v>0.5147222222222213</v>
      </c>
      <c r="V21" s="19">
        <v>0.61194444444444396</v>
      </c>
      <c r="W21" s="19">
        <f t="shared" si="14"/>
        <v>9.7222222222222654E-2</v>
      </c>
      <c r="X21" s="20"/>
      <c r="Y21" s="15">
        <v>0.61458333333333337</v>
      </c>
      <c r="Z21" s="14" t="s">
        <v>21</v>
      </c>
      <c r="AA21" s="20"/>
      <c r="AB21" s="15">
        <f>G21+O21+W21</f>
        <v>0.25833333333333314</v>
      </c>
      <c r="AC21" s="25">
        <f>MOD(Y21-B21,1)</f>
        <v>0.33333333333333337</v>
      </c>
      <c r="AD21" s="15">
        <f t="shared" si="3"/>
        <v>5.9722222222221844E-2</v>
      </c>
      <c r="AE21" s="19"/>
      <c r="AF21" s="20" t="s">
        <v>49</v>
      </c>
      <c r="AG21" s="26"/>
    </row>
    <row r="22" spans="1:33" s="21" customFormat="1" ht="18" customHeight="1" x14ac:dyDescent="0.25">
      <c r="A22" s="14">
        <v>18</v>
      </c>
      <c r="B22" s="15">
        <f>E22-TIME(0,15,0)</f>
        <v>0.28819444444444442</v>
      </c>
      <c r="C22" s="14" t="s">
        <v>40</v>
      </c>
      <c r="D22" s="20">
        <v>220</v>
      </c>
      <c r="E22" s="19">
        <v>0.2986111111111111</v>
      </c>
      <c r="F22" s="19">
        <v>0.39006944444444425</v>
      </c>
      <c r="G22" s="19">
        <f t="shared" si="11"/>
        <v>9.1458333333333142E-2</v>
      </c>
      <c r="H22" s="20"/>
      <c r="I22" s="15">
        <f t="shared" si="12"/>
        <v>2.6736111111110905E-2</v>
      </c>
      <c r="J22" s="20"/>
      <c r="K22" s="20"/>
      <c r="L22" s="20">
        <v>206</v>
      </c>
      <c r="M22" s="19">
        <v>0.41680555555555515</v>
      </c>
      <c r="N22" s="19">
        <v>0.50777777777777688</v>
      </c>
      <c r="O22" s="19">
        <f t="shared" si="13"/>
        <v>9.0972222222221732E-2</v>
      </c>
      <c r="P22" s="45" t="s">
        <v>50</v>
      </c>
      <c r="Q22" s="15">
        <f>U22-N22</f>
        <v>4.8611111111112049E-2</v>
      </c>
      <c r="R22" s="20"/>
      <c r="S22" s="20"/>
      <c r="T22" s="20">
        <v>201</v>
      </c>
      <c r="U22" s="19">
        <v>0.55638888888888893</v>
      </c>
      <c r="V22" s="33">
        <v>0.57986111111111105</v>
      </c>
      <c r="W22" s="19">
        <f t="shared" si="14"/>
        <v>2.3472222222222117E-2</v>
      </c>
      <c r="X22" s="20" t="s">
        <v>35</v>
      </c>
      <c r="Y22" s="15">
        <v>0.58333333333333337</v>
      </c>
      <c r="Z22" s="14" t="s">
        <v>21</v>
      </c>
      <c r="AA22" s="20"/>
      <c r="AB22" s="15">
        <f>G22+O22+W22</f>
        <v>0.20590277777777699</v>
      </c>
      <c r="AC22" s="25">
        <f>MOD(Y22-B22,1)</f>
        <v>0.29513888888888895</v>
      </c>
      <c r="AD22" s="15">
        <f t="shared" si="3"/>
        <v>7.5347222222222954E-2</v>
      </c>
      <c r="AE22" s="19"/>
      <c r="AF22" s="20" t="s">
        <v>51</v>
      </c>
      <c r="AG22" s="26"/>
    </row>
    <row r="23" spans="1:33" s="21" customFormat="1" ht="18" customHeight="1" x14ac:dyDescent="0.25">
      <c r="A23" s="14"/>
      <c r="B23" s="15"/>
      <c r="C23" s="14"/>
      <c r="D23" s="20"/>
      <c r="E23" s="19"/>
      <c r="F23" s="19"/>
      <c r="G23" s="19"/>
      <c r="H23" s="20"/>
      <c r="I23" s="15"/>
      <c r="J23" s="20"/>
      <c r="K23" s="20"/>
      <c r="L23" s="20"/>
      <c r="M23" s="19"/>
      <c r="N23" s="19"/>
      <c r="O23" s="19"/>
      <c r="P23" s="20"/>
      <c r="Q23" s="15"/>
      <c r="R23" s="20"/>
      <c r="S23" s="20"/>
      <c r="T23" s="20"/>
      <c r="U23" s="19"/>
      <c r="V23" s="33"/>
      <c r="W23" s="19"/>
      <c r="X23" s="20"/>
      <c r="Y23" s="15"/>
      <c r="Z23" s="14"/>
      <c r="AA23" s="20"/>
      <c r="AB23" s="15"/>
      <c r="AC23" s="25"/>
      <c r="AD23" s="15"/>
      <c r="AE23" s="19"/>
      <c r="AF23" s="20"/>
      <c r="AG23" s="26"/>
    </row>
    <row r="24" spans="1:33" s="21" customFormat="1" ht="18" customHeight="1" x14ac:dyDescent="0.25">
      <c r="A24" s="14">
        <v>19</v>
      </c>
      <c r="B24" s="15">
        <v>0.29166666666666669</v>
      </c>
      <c r="C24" s="14" t="s">
        <v>19</v>
      </c>
      <c r="D24" s="20">
        <v>204</v>
      </c>
      <c r="E24" s="19">
        <v>0.30430555555555561</v>
      </c>
      <c r="F24" s="19">
        <v>0.40152777777777743</v>
      </c>
      <c r="G24" s="19">
        <f t="shared" ref="G24:G32" si="15">MOD(F24-E24,1)</f>
        <v>9.7222222222221821E-2</v>
      </c>
      <c r="H24" s="20"/>
      <c r="I24" s="15">
        <f t="shared" ref="I24:I32" si="16">M24-F24</f>
        <v>2.6736111111111183E-2</v>
      </c>
      <c r="J24" s="20"/>
      <c r="K24" s="20"/>
      <c r="L24" s="20">
        <v>216</v>
      </c>
      <c r="M24" s="19">
        <v>0.42826388888888861</v>
      </c>
      <c r="N24" s="19">
        <v>0.49701388888888837</v>
      </c>
      <c r="O24" s="19">
        <f t="shared" ref="O24:O32" si="17">MOD(N24-M24,1)</f>
        <v>6.8749999999999756E-2</v>
      </c>
      <c r="P24" s="20"/>
      <c r="Q24" s="15">
        <f>U24-N24</f>
        <v>3.1597222222222665E-2</v>
      </c>
      <c r="R24" s="20"/>
      <c r="S24" s="20"/>
      <c r="T24" s="20">
        <v>217</v>
      </c>
      <c r="U24" s="19">
        <v>0.52861111111111103</v>
      </c>
      <c r="V24" s="19">
        <v>0.62305555555555492</v>
      </c>
      <c r="W24" s="19">
        <f t="shared" ref="W24:W32" si="18">MOD(V24-U24,1)</f>
        <v>9.4444444444443887E-2</v>
      </c>
      <c r="X24" s="20"/>
      <c r="Y24" s="15">
        <v>0.625</v>
      </c>
      <c r="Z24" s="14" t="s">
        <v>21</v>
      </c>
      <c r="AA24" s="20"/>
      <c r="AB24" s="15">
        <f t="shared" ref="AB24:AB29" si="19">G24+O24+W24</f>
        <v>0.26041666666666546</v>
      </c>
      <c r="AC24" s="25">
        <f t="shared" ref="AC24:AC32" si="20">MOD(Y24-B24,1)</f>
        <v>0.33333333333333331</v>
      </c>
      <c r="AD24" s="15">
        <f t="shared" si="3"/>
        <v>5.8333333333333848E-2</v>
      </c>
      <c r="AE24" s="19"/>
      <c r="AF24" s="20" t="s">
        <v>52</v>
      </c>
      <c r="AG24" s="26"/>
    </row>
    <row r="25" spans="1:33" s="21" customFormat="1" ht="18" customHeight="1" x14ac:dyDescent="0.25">
      <c r="A25" s="14">
        <v>20</v>
      </c>
      <c r="B25" s="15">
        <f>E25-TIME(0,15,0)</f>
        <v>0.29513888888888884</v>
      </c>
      <c r="C25" s="14" t="s">
        <v>40</v>
      </c>
      <c r="D25" s="20">
        <v>221</v>
      </c>
      <c r="E25" s="19">
        <v>0.30555555555555552</v>
      </c>
      <c r="F25" s="19">
        <v>0.39770833333333311</v>
      </c>
      <c r="G25" s="19">
        <f t="shared" si="15"/>
        <v>9.2152777777777584E-2</v>
      </c>
      <c r="H25" s="20"/>
      <c r="I25" s="15">
        <f t="shared" si="16"/>
        <v>2.6736111111110905E-2</v>
      </c>
      <c r="J25" s="20"/>
      <c r="K25" s="20"/>
      <c r="L25" s="20">
        <v>207</v>
      </c>
      <c r="M25" s="19">
        <v>0.42444444444444401</v>
      </c>
      <c r="N25" s="19">
        <v>0.5147222222222213</v>
      </c>
      <c r="O25" s="19">
        <f t="shared" si="17"/>
        <v>9.0277777777777291E-2</v>
      </c>
      <c r="P25" s="20"/>
      <c r="Q25" s="15">
        <f>U25-N25</f>
        <v>3.0416666666667647E-2</v>
      </c>
      <c r="R25" s="20"/>
      <c r="S25" s="20" t="s">
        <v>35</v>
      </c>
      <c r="T25" s="20">
        <v>208</v>
      </c>
      <c r="U25" s="33">
        <v>0.54513888888888895</v>
      </c>
      <c r="V25" s="19">
        <v>0.61749999999999894</v>
      </c>
      <c r="W25" s="19">
        <f t="shared" si="18"/>
        <v>7.2361111111109988E-2</v>
      </c>
      <c r="X25" s="20"/>
      <c r="Y25" s="15">
        <v>0.62152777777777779</v>
      </c>
      <c r="Z25" s="14" t="s">
        <v>21</v>
      </c>
      <c r="AA25" s="20"/>
      <c r="AB25" s="15">
        <f t="shared" si="19"/>
        <v>0.25479166666666486</v>
      </c>
      <c r="AC25" s="25">
        <f t="shared" si="20"/>
        <v>0.32638888888888895</v>
      </c>
      <c r="AD25" s="15">
        <f t="shared" si="3"/>
        <v>5.7152777777778552E-2</v>
      </c>
      <c r="AE25" s="19"/>
      <c r="AF25" s="20" t="s">
        <v>53</v>
      </c>
      <c r="AG25" s="26"/>
    </row>
    <row r="26" spans="1:33" s="21" customFormat="1" ht="18" customHeight="1" x14ac:dyDescent="0.25">
      <c r="A26" s="14">
        <v>21</v>
      </c>
      <c r="B26" s="15">
        <f>E26-TIME(0,15,0)</f>
        <v>0.31041666666666667</v>
      </c>
      <c r="C26" s="14" t="s">
        <v>35</v>
      </c>
      <c r="D26" s="20">
        <v>212</v>
      </c>
      <c r="E26" s="33">
        <v>0.32083333333333336</v>
      </c>
      <c r="F26" s="19">
        <v>0.39388888888888857</v>
      </c>
      <c r="G26" s="19">
        <f t="shared" si="15"/>
        <v>7.3055555555555207E-2</v>
      </c>
      <c r="H26" s="20"/>
      <c r="I26" s="15">
        <f t="shared" si="16"/>
        <v>1.5277777777777724E-2</v>
      </c>
      <c r="J26" s="20"/>
      <c r="K26" s="20"/>
      <c r="L26" s="20">
        <v>205</v>
      </c>
      <c r="M26" s="19">
        <v>0.40916666666666629</v>
      </c>
      <c r="N26" s="19">
        <v>0.50083333333333258</v>
      </c>
      <c r="O26" s="19">
        <f>MOD(N26-M26,1)</f>
        <v>9.1666666666666285E-2</v>
      </c>
      <c r="P26" s="45"/>
      <c r="Q26" s="15">
        <f>U26-N26</f>
        <v>3.8888888888889306E-2</v>
      </c>
      <c r="R26" s="20"/>
      <c r="S26" s="20"/>
      <c r="T26" s="20">
        <v>210</v>
      </c>
      <c r="U26" s="19">
        <v>0.53972222222222188</v>
      </c>
      <c r="V26" s="19">
        <v>0.63416666666666632</v>
      </c>
      <c r="W26" s="19">
        <f t="shared" si="18"/>
        <v>9.4444444444444442E-2</v>
      </c>
      <c r="X26" s="20"/>
      <c r="Y26" s="15">
        <v>0.63888888888888895</v>
      </c>
      <c r="Z26" s="14" t="s">
        <v>21</v>
      </c>
      <c r="AA26" s="46"/>
      <c r="AB26" s="15">
        <f t="shared" si="19"/>
        <v>0.25916666666666593</v>
      </c>
      <c r="AC26" s="25">
        <f t="shared" si="20"/>
        <v>0.32847222222222228</v>
      </c>
      <c r="AD26" s="15">
        <f t="shared" si="3"/>
        <v>5.4166666666667029E-2</v>
      </c>
      <c r="AE26" s="19"/>
      <c r="AF26" s="20" t="s">
        <v>54</v>
      </c>
      <c r="AG26" s="26"/>
    </row>
    <row r="27" spans="1:33" s="21" customFormat="1" ht="18" customHeight="1" x14ac:dyDescent="0.25">
      <c r="A27" s="14">
        <v>22</v>
      </c>
      <c r="B27" s="15">
        <v>0.3125</v>
      </c>
      <c r="C27" s="14" t="s">
        <v>19</v>
      </c>
      <c r="D27" s="20">
        <v>206</v>
      </c>
      <c r="E27" s="19">
        <v>0.32513888888888898</v>
      </c>
      <c r="F27" s="19">
        <v>0.41680555555555515</v>
      </c>
      <c r="G27" s="19">
        <f t="shared" si="15"/>
        <v>9.1666666666666174E-2</v>
      </c>
      <c r="H27" s="20"/>
      <c r="I27" s="15">
        <f t="shared" si="16"/>
        <v>2.6736111111111183E-2</v>
      </c>
      <c r="J27" s="20"/>
      <c r="K27" s="20"/>
      <c r="L27" s="20">
        <v>218</v>
      </c>
      <c r="M27" s="19">
        <v>0.44354166666666633</v>
      </c>
      <c r="N27" s="19">
        <v>0.47222222222222227</v>
      </c>
      <c r="O27" s="19">
        <f t="shared" si="17"/>
        <v>2.8680555555555931E-2</v>
      </c>
      <c r="P27" s="20" t="s">
        <v>27</v>
      </c>
      <c r="Q27" s="15"/>
      <c r="R27" s="20"/>
      <c r="S27" s="20"/>
      <c r="T27" s="20"/>
      <c r="U27" s="19"/>
      <c r="V27" s="33"/>
      <c r="W27" s="19"/>
      <c r="X27" s="20"/>
      <c r="Y27" s="15">
        <v>0.58333333333333337</v>
      </c>
      <c r="Z27" s="14" t="s">
        <v>21</v>
      </c>
      <c r="AA27" s="46"/>
      <c r="AB27" s="15">
        <f t="shared" si="19"/>
        <v>0.12034722222222211</v>
      </c>
      <c r="AC27" s="25">
        <f t="shared" si="20"/>
        <v>0.27083333333333337</v>
      </c>
      <c r="AD27" s="15">
        <f t="shared" si="3"/>
        <v>2.6736111111111183E-2</v>
      </c>
      <c r="AE27" s="19"/>
      <c r="AF27" s="20" t="s">
        <v>55</v>
      </c>
      <c r="AG27" s="26"/>
    </row>
    <row r="28" spans="1:33" s="21" customFormat="1" ht="18" customHeight="1" x14ac:dyDescent="0.25">
      <c r="A28" s="14">
        <v>23</v>
      </c>
      <c r="B28" s="15">
        <v>0.3263888888888889</v>
      </c>
      <c r="C28" s="14" t="s">
        <v>35</v>
      </c>
      <c r="D28" s="20">
        <v>205</v>
      </c>
      <c r="E28" s="33">
        <v>0.33611111111111108</v>
      </c>
      <c r="F28" s="19">
        <v>0.40916666666666629</v>
      </c>
      <c r="G28" s="19">
        <f t="shared" si="15"/>
        <v>7.3055555555555207E-2</v>
      </c>
      <c r="H28" s="20"/>
      <c r="I28" s="15">
        <f t="shared" si="16"/>
        <v>2.6736111111111183E-2</v>
      </c>
      <c r="J28" s="23"/>
      <c r="K28" s="23"/>
      <c r="L28" s="20">
        <v>217</v>
      </c>
      <c r="M28" s="19">
        <v>0.43590277777777747</v>
      </c>
      <c r="N28" s="19">
        <v>0.52861111111111103</v>
      </c>
      <c r="O28" s="19">
        <f t="shared" si="17"/>
        <v>9.2708333333333559E-2</v>
      </c>
      <c r="P28" s="20"/>
      <c r="Q28" s="15">
        <f>U28-N28</f>
        <v>3.3333333333332882E-2</v>
      </c>
      <c r="R28" s="23"/>
      <c r="S28" s="20"/>
      <c r="T28" s="20">
        <v>202</v>
      </c>
      <c r="U28" s="19">
        <v>0.56194444444444391</v>
      </c>
      <c r="V28" s="19">
        <v>0.65638888888888891</v>
      </c>
      <c r="W28" s="19">
        <f t="shared" si="18"/>
        <v>9.4444444444444997E-2</v>
      </c>
      <c r="X28" s="20"/>
      <c r="Y28" s="15">
        <v>0.65972222222222221</v>
      </c>
      <c r="Z28" s="14" t="s">
        <v>21</v>
      </c>
      <c r="AA28" s="20"/>
      <c r="AB28" s="15">
        <f t="shared" si="19"/>
        <v>0.26020833333333376</v>
      </c>
      <c r="AC28" s="25">
        <f t="shared" si="20"/>
        <v>0.33333333333333331</v>
      </c>
      <c r="AD28" s="15">
        <f t="shared" si="3"/>
        <v>6.0069444444444065E-2</v>
      </c>
      <c r="AE28" s="19"/>
      <c r="AF28" s="20" t="s">
        <v>56</v>
      </c>
      <c r="AG28" s="26"/>
    </row>
    <row r="29" spans="1:33" ht="18" customHeight="1" x14ac:dyDescent="0.25">
      <c r="A29" s="44">
        <v>24</v>
      </c>
      <c r="B29" s="34">
        <v>0.3263888888888889</v>
      </c>
      <c r="C29" s="14" t="s">
        <v>19</v>
      </c>
      <c r="D29" s="35">
        <v>213</v>
      </c>
      <c r="E29" s="36">
        <v>0.33659722222222221</v>
      </c>
      <c r="F29" s="36">
        <v>0.40534722222222203</v>
      </c>
      <c r="G29" s="36">
        <f t="shared" si="15"/>
        <v>6.8749999999999811E-2</v>
      </c>
      <c r="H29" s="35"/>
      <c r="I29" s="34">
        <f t="shared" si="16"/>
        <v>2.673611111111085E-2</v>
      </c>
      <c r="J29" s="35"/>
      <c r="K29" s="35"/>
      <c r="L29" s="35">
        <v>208</v>
      </c>
      <c r="M29" s="36">
        <v>0.43208333333333288</v>
      </c>
      <c r="N29" s="36">
        <v>0.52166666666666661</v>
      </c>
      <c r="O29" s="36">
        <f t="shared" si="17"/>
        <v>8.9583333333333737E-2</v>
      </c>
      <c r="P29" s="47" t="s">
        <v>57</v>
      </c>
      <c r="Q29" s="34">
        <f>U29-N29</f>
        <v>5.6805555555555554E-2</v>
      </c>
      <c r="R29" s="35"/>
      <c r="S29" s="35" t="s">
        <v>35</v>
      </c>
      <c r="T29" s="35">
        <v>201</v>
      </c>
      <c r="U29" s="39">
        <v>0.57847222222222217</v>
      </c>
      <c r="V29" s="36">
        <v>0.65083333333333293</v>
      </c>
      <c r="W29" s="36">
        <f t="shared" si="18"/>
        <v>7.2361111111110765E-2</v>
      </c>
      <c r="X29" s="35"/>
      <c r="Y29" s="34">
        <v>0.65277777777777779</v>
      </c>
      <c r="Z29" s="37" t="s">
        <v>21</v>
      </c>
      <c r="AA29" s="35"/>
      <c r="AB29" s="15">
        <f t="shared" si="19"/>
        <v>0.23069444444444431</v>
      </c>
      <c r="AC29" s="48">
        <f t="shared" si="20"/>
        <v>0.3263888888888889</v>
      </c>
      <c r="AD29" s="34">
        <f t="shared" si="3"/>
        <v>8.3541666666666403E-2</v>
      </c>
      <c r="AE29" s="36"/>
      <c r="AF29" s="35" t="s">
        <v>58</v>
      </c>
      <c r="AG29" s="41"/>
    </row>
    <row r="30" spans="1:33" s="21" customFormat="1" ht="18" customHeight="1" x14ac:dyDescent="0.25">
      <c r="A30" s="14">
        <v>25</v>
      </c>
      <c r="B30" s="15">
        <v>0.32291666666666669</v>
      </c>
      <c r="C30" s="14" t="s">
        <v>19</v>
      </c>
      <c r="D30" s="20">
        <v>207</v>
      </c>
      <c r="E30" s="36">
        <v>0.33263888888888887</v>
      </c>
      <c r="F30" s="19">
        <v>0.42430555555555555</v>
      </c>
      <c r="G30" s="19">
        <f>MOD(F30-E30,1)</f>
        <v>9.1666666666666674E-2</v>
      </c>
      <c r="H30" s="20"/>
      <c r="I30" s="34">
        <f t="shared" si="16"/>
        <v>3.4513888888888511E-2</v>
      </c>
      <c r="J30" s="20"/>
      <c r="K30" s="20"/>
      <c r="L30" s="20">
        <v>220</v>
      </c>
      <c r="M30" s="19">
        <v>0.45881944444444406</v>
      </c>
      <c r="N30" s="19">
        <v>0.55083333333333295</v>
      </c>
      <c r="O30" s="19">
        <f t="shared" si="17"/>
        <v>9.2013888888888895E-2</v>
      </c>
      <c r="P30" s="20"/>
      <c r="Q30" s="15">
        <f>U30-N30</f>
        <v>2.7777777777777901E-2</v>
      </c>
      <c r="R30" s="20"/>
      <c r="S30" s="20"/>
      <c r="T30" s="20">
        <v>212</v>
      </c>
      <c r="U30" s="19">
        <v>0.57861111111111085</v>
      </c>
      <c r="V30" s="19">
        <v>0.65833333333333333</v>
      </c>
      <c r="W30" s="19">
        <f t="shared" si="18"/>
        <v>7.9722222222222472E-2</v>
      </c>
      <c r="X30" s="20" t="s">
        <v>59</v>
      </c>
      <c r="Y30" s="15">
        <v>0.65972222222222221</v>
      </c>
      <c r="Z30" s="14" t="s">
        <v>44</v>
      </c>
      <c r="AA30" s="14"/>
      <c r="AB30" s="15">
        <f>O5+O30+W30</f>
        <v>0.26340277777777749</v>
      </c>
      <c r="AC30" s="25">
        <f t="shared" si="20"/>
        <v>0.33680555555555552</v>
      </c>
      <c r="AD30" s="15">
        <f t="shared" si="3"/>
        <v>6.2291666666666412E-2</v>
      </c>
      <c r="AE30" s="15"/>
      <c r="AF30" s="20" t="s">
        <v>60</v>
      </c>
      <c r="AG30" s="38"/>
    </row>
    <row r="31" spans="1:33" s="21" customFormat="1" ht="18" customHeight="1" x14ac:dyDescent="0.25">
      <c r="A31" s="14">
        <v>26</v>
      </c>
      <c r="B31" s="15">
        <f>E31-TIME(0,15,0)</f>
        <v>0.33381944444444439</v>
      </c>
      <c r="C31" s="14" t="s">
        <v>19</v>
      </c>
      <c r="D31" s="20">
        <v>214</v>
      </c>
      <c r="E31" s="19">
        <v>0.34423611111111108</v>
      </c>
      <c r="F31" s="19">
        <v>0.41298611111111089</v>
      </c>
      <c r="G31" s="19">
        <f t="shared" si="15"/>
        <v>6.8749999999999811E-2</v>
      </c>
      <c r="H31" s="20"/>
      <c r="I31" s="34">
        <f t="shared" si="16"/>
        <v>2.673611111111085E-2</v>
      </c>
      <c r="J31" s="30"/>
      <c r="K31" s="30"/>
      <c r="L31" s="20">
        <v>209</v>
      </c>
      <c r="M31" s="19">
        <v>0.43972222222222174</v>
      </c>
      <c r="N31" s="19">
        <v>0.5341666666666659</v>
      </c>
      <c r="O31" s="19">
        <f t="shared" si="17"/>
        <v>9.4444444444444164E-2</v>
      </c>
      <c r="P31" s="20"/>
      <c r="Q31" s="15">
        <f>U31-N31</f>
        <v>3.3333333333333992E-2</v>
      </c>
      <c r="R31" s="30"/>
      <c r="S31" s="20"/>
      <c r="T31" s="20">
        <v>213</v>
      </c>
      <c r="U31" s="19">
        <v>0.56749999999999989</v>
      </c>
      <c r="V31" s="19">
        <v>0.66194444444444389</v>
      </c>
      <c r="W31" s="19">
        <f t="shared" si="18"/>
        <v>9.4444444444443998E-2</v>
      </c>
      <c r="X31" s="20"/>
      <c r="Y31" s="15">
        <v>0.66319444444444442</v>
      </c>
      <c r="Z31" s="14" t="s">
        <v>21</v>
      </c>
      <c r="AA31" s="20"/>
      <c r="AB31" s="15">
        <f>G31+O31+W31</f>
        <v>0.25763888888888797</v>
      </c>
      <c r="AC31" s="25">
        <f t="shared" si="20"/>
        <v>0.32937500000000003</v>
      </c>
      <c r="AD31" s="15">
        <f t="shared" si="3"/>
        <v>6.0069444444444842E-2</v>
      </c>
      <c r="AE31" s="19"/>
      <c r="AF31" s="20" t="s">
        <v>61</v>
      </c>
      <c r="AG31" s="38"/>
    </row>
    <row r="32" spans="1:33" s="21" customFormat="1" ht="18" customHeight="1" x14ac:dyDescent="0.25">
      <c r="A32" s="14">
        <v>27</v>
      </c>
      <c r="B32" s="15">
        <v>0.33680555555555558</v>
      </c>
      <c r="C32" s="14" t="s">
        <v>19</v>
      </c>
      <c r="D32" s="20">
        <v>209</v>
      </c>
      <c r="E32" s="19">
        <v>0.34805555555555562</v>
      </c>
      <c r="F32" s="19">
        <v>0.43972222222222174</v>
      </c>
      <c r="G32" s="19">
        <f t="shared" si="15"/>
        <v>9.1666666666666119E-2</v>
      </c>
      <c r="H32" s="20"/>
      <c r="I32" s="34">
        <f t="shared" si="16"/>
        <v>2.6736111111111183E-2</v>
      </c>
      <c r="J32" s="20"/>
      <c r="K32" s="20"/>
      <c r="L32" s="20">
        <v>221</v>
      </c>
      <c r="M32" s="19">
        <v>0.46645833333333292</v>
      </c>
      <c r="N32" s="19">
        <v>0.49652777777777773</v>
      </c>
      <c r="O32" s="19">
        <f t="shared" si="17"/>
        <v>3.0069444444444815E-2</v>
      </c>
      <c r="P32" s="20" t="s">
        <v>27</v>
      </c>
      <c r="Q32" s="15">
        <f>U32-N32</f>
        <v>7.652777777777714E-2</v>
      </c>
      <c r="R32" s="20"/>
      <c r="S32" s="45" t="s">
        <v>57</v>
      </c>
      <c r="T32" s="20">
        <v>214</v>
      </c>
      <c r="U32" s="19">
        <v>0.57305555555555487</v>
      </c>
      <c r="V32" s="19">
        <v>0.66749999999999987</v>
      </c>
      <c r="W32" s="19">
        <f t="shared" si="18"/>
        <v>9.4444444444444997E-2</v>
      </c>
      <c r="X32" s="20"/>
      <c r="Y32" s="15">
        <v>0.67013888888888884</v>
      </c>
      <c r="Z32" s="14" t="s">
        <v>21</v>
      </c>
      <c r="AA32" s="20"/>
      <c r="AB32" s="15">
        <f>G32+O32+W32</f>
        <v>0.21618055555555593</v>
      </c>
      <c r="AC32" s="25">
        <f t="shared" si="20"/>
        <v>0.33333333333333326</v>
      </c>
      <c r="AD32" s="15">
        <f t="shared" si="3"/>
        <v>0.10326388888888832</v>
      </c>
      <c r="AE32" s="19"/>
      <c r="AF32" s="20" t="s">
        <v>62</v>
      </c>
      <c r="AG32" s="26"/>
    </row>
    <row r="33" spans="1:45" s="21" customFormat="1" ht="18" customHeight="1" x14ac:dyDescent="0.25">
      <c r="A33" s="14"/>
      <c r="B33" s="15"/>
      <c r="C33" s="14"/>
      <c r="D33" s="20"/>
      <c r="E33" s="19"/>
      <c r="F33" s="19"/>
      <c r="G33" s="19"/>
      <c r="H33" s="20"/>
      <c r="I33" s="15"/>
      <c r="J33" s="20"/>
      <c r="K33" s="20"/>
      <c r="L33" s="20"/>
      <c r="M33" s="19"/>
      <c r="N33" s="19"/>
      <c r="O33" s="19"/>
      <c r="P33" s="20"/>
      <c r="Q33" s="15"/>
      <c r="R33" s="20"/>
      <c r="S33" s="20"/>
      <c r="T33" s="20"/>
      <c r="U33" s="19"/>
      <c r="V33" s="19"/>
      <c r="W33" s="19"/>
      <c r="X33" s="20"/>
      <c r="Y33" s="15"/>
      <c r="Z33" s="14"/>
      <c r="AA33" s="20"/>
      <c r="AB33" s="15"/>
      <c r="AC33" s="25"/>
      <c r="AD33" s="15"/>
      <c r="AE33" s="19"/>
      <c r="AF33" s="20"/>
      <c r="AG33" s="26"/>
    </row>
    <row r="34" spans="1:45" s="21" customFormat="1" ht="18" customHeight="1" x14ac:dyDescent="0.25">
      <c r="A34" s="14">
        <v>28</v>
      </c>
      <c r="B34" s="15">
        <v>0.57291666666666663</v>
      </c>
      <c r="C34" s="14" t="s">
        <v>23</v>
      </c>
      <c r="D34" s="30" t="s">
        <v>24</v>
      </c>
      <c r="E34" s="18"/>
      <c r="F34" s="16"/>
      <c r="G34" s="24"/>
      <c r="H34" s="16"/>
      <c r="I34" s="16"/>
      <c r="J34" s="16"/>
      <c r="K34" s="16"/>
      <c r="L34" s="14"/>
      <c r="M34" s="16"/>
      <c r="N34" s="16"/>
      <c r="O34" s="24"/>
      <c r="P34" s="16"/>
      <c r="Q34" s="16"/>
      <c r="R34" s="16"/>
      <c r="S34" s="16"/>
      <c r="T34" s="30" t="s">
        <v>24</v>
      </c>
      <c r="U34" s="16"/>
      <c r="V34" s="16"/>
      <c r="W34" s="24"/>
      <c r="X34" s="16"/>
      <c r="Y34" s="15">
        <v>0.90625</v>
      </c>
      <c r="Z34" s="14" t="s">
        <v>23</v>
      </c>
      <c r="AA34" s="20"/>
      <c r="AB34" s="15"/>
      <c r="AC34" s="25">
        <f t="shared" ref="AC34:AC41" si="21">MOD(Y34-B34,1)</f>
        <v>0.33333333333333337</v>
      </c>
      <c r="AD34" s="15"/>
      <c r="AE34" s="20"/>
      <c r="AF34" s="20" t="s">
        <v>63</v>
      </c>
      <c r="AG34" s="26"/>
      <c r="AM34" s="27"/>
      <c r="AP34" s="28"/>
      <c r="AQ34" s="29"/>
      <c r="AR34" s="28"/>
      <c r="AS34" s="28"/>
    </row>
    <row r="35" spans="1:45" s="21" customFormat="1" ht="18" customHeight="1" x14ac:dyDescent="0.25">
      <c r="A35" s="14">
        <v>29</v>
      </c>
      <c r="B35" s="15">
        <v>0.58333333333333337</v>
      </c>
      <c r="C35" s="14" t="s">
        <v>21</v>
      </c>
      <c r="D35" s="16" t="s">
        <v>64</v>
      </c>
      <c r="E35" s="31"/>
      <c r="F35" s="32"/>
      <c r="G35" s="19"/>
      <c r="H35" s="20"/>
      <c r="I35" s="19"/>
      <c r="J35" s="20"/>
      <c r="K35" s="20"/>
      <c r="L35" s="20"/>
      <c r="M35" s="19"/>
      <c r="N35" s="19"/>
      <c r="O35" s="19"/>
      <c r="P35" s="20"/>
      <c r="Q35" s="15"/>
      <c r="R35" s="20"/>
      <c r="S35" s="20"/>
      <c r="T35" s="16" t="s">
        <v>64</v>
      </c>
      <c r="U35" s="20"/>
      <c r="V35" s="20"/>
      <c r="W35" s="19"/>
      <c r="X35" s="20"/>
      <c r="Y35" s="15">
        <v>0.91666666666666663</v>
      </c>
      <c r="Z35" s="14" t="s">
        <v>21</v>
      </c>
      <c r="AA35" s="20"/>
      <c r="AB35" s="15"/>
      <c r="AC35" s="25">
        <f t="shared" si="21"/>
        <v>0.33333333333333326</v>
      </c>
      <c r="AD35" s="15"/>
      <c r="AE35" s="20"/>
      <c r="AF35" s="20" t="s">
        <v>65</v>
      </c>
      <c r="AG35" s="26"/>
    </row>
    <row r="36" spans="1:45" s="21" customFormat="1" ht="18" customHeight="1" x14ac:dyDescent="0.25">
      <c r="A36" s="44">
        <v>30</v>
      </c>
      <c r="B36" s="15">
        <v>0.55208333333333337</v>
      </c>
      <c r="C36" s="14" t="s">
        <v>19</v>
      </c>
      <c r="D36" s="30" t="s">
        <v>66</v>
      </c>
      <c r="E36" s="19">
        <v>0.55555555555555558</v>
      </c>
      <c r="F36" s="19">
        <v>0.67708333333333337</v>
      </c>
      <c r="G36" s="33">
        <f t="shared" ref="G36:G41" si="22">MOD(F36-E36,1)</f>
        <v>0.12152777777777779</v>
      </c>
      <c r="H36" s="49"/>
      <c r="I36" s="50">
        <f>M36-F36</f>
        <v>1.8194444444443514E-2</v>
      </c>
      <c r="J36" s="49"/>
      <c r="K36" s="51"/>
      <c r="L36" s="52">
        <v>205</v>
      </c>
      <c r="M36" s="19">
        <v>0.69527777777777688</v>
      </c>
      <c r="N36" s="19">
        <v>0.76645833333333246</v>
      </c>
      <c r="O36" s="19">
        <f t="shared" ref="O36:O41" si="23">MOD(N36-M36,1)</f>
        <v>7.118055555555558E-2</v>
      </c>
      <c r="P36" s="20"/>
      <c r="Q36" s="15">
        <f t="shared" ref="Q36:Q41" si="24">U36-N36</f>
        <v>1.9097222222222099E-2</v>
      </c>
      <c r="R36" s="20"/>
      <c r="S36" s="20"/>
      <c r="T36" s="20">
        <v>216</v>
      </c>
      <c r="U36" s="19">
        <v>0.78555555555555456</v>
      </c>
      <c r="V36" s="19">
        <v>0.8772222222222209</v>
      </c>
      <c r="W36" s="19">
        <f t="shared" ref="W36:W41" si="25">MOD(V36-U36,1)</f>
        <v>9.1666666666666341E-2</v>
      </c>
      <c r="X36" s="49"/>
      <c r="Y36" s="15">
        <v>0.88541666666666663</v>
      </c>
      <c r="Z36" s="14" t="s">
        <v>21</v>
      </c>
      <c r="AA36" s="20"/>
      <c r="AB36" s="15">
        <f>O36+W36</f>
        <v>0.16284722222222192</v>
      </c>
      <c r="AC36" s="25">
        <f t="shared" si="21"/>
        <v>0.33333333333333326</v>
      </c>
      <c r="AD36" s="15">
        <f>I36+Q36</f>
        <v>3.7291666666665613E-2</v>
      </c>
      <c r="AE36" s="20"/>
      <c r="AF36" s="20" t="s">
        <v>67</v>
      </c>
      <c r="AG36" s="26"/>
    </row>
    <row r="37" spans="1:45" s="21" customFormat="1" ht="18" customHeight="1" x14ac:dyDescent="0.25">
      <c r="A37" s="14">
        <v>31</v>
      </c>
      <c r="B37" s="15">
        <v>0.55555555555555558</v>
      </c>
      <c r="C37" s="14" t="s">
        <v>26</v>
      </c>
      <c r="D37" s="20">
        <v>209</v>
      </c>
      <c r="E37" s="33">
        <v>0.56874999999999998</v>
      </c>
      <c r="F37" s="19">
        <v>0.62861111111111079</v>
      </c>
      <c r="G37" s="19">
        <f t="shared" si="22"/>
        <v>5.986111111111081E-2</v>
      </c>
      <c r="H37" s="20"/>
      <c r="I37" s="15">
        <f>M37-F37</f>
        <v>2.2222222222222143E-2</v>
      </c>
      <c r="J37" s="20"/>
      <c r="K37" s="24"/>
      <c r="L37" s="20">
        <v>201</v>
      </c>
      <c r="M37" s="19">
        <v>0.65083333333333293</v>
      </c>
      <c r="N37" s="19">
        <v>0.74736111111111014</v>
      </c>
      <c r="O37" s="19">
        <f t="shared" si="23"/>
        <v>9.6527777777777213E-2</v>
      </c>
      <c r="P37" s="20"/>
      <c r="Q37" s="15">
        <f t="shared" si="24"/>
        <v>1.9097222222222321E-2</v>
      </c>
      <c r="R37" s="20"/>
      <c r="S37" s="20"/>
      <c r="T37" s="20">
        <v>205</v>
      </c>
      <c r="U37" s="19">
        <v>0.76645833333333246</v>
      </c>
      <c r="V37" s="19">
        <v>0.86111111111111116</v>
      </c>
      <c r="W37" s="19">
        <f t="shared" si="25"/>
        <v>9.4652777777778696E-2</v>
      </c>
      <c r="X37" s="20" t="s">
        <v>27</v>
      </c>
      <c r="Y37" s="15">
        <v>0.875</v>
      </c>
      <c r="Z37" s="37" t="s">
        <v>28</v>
      </c>
      <c r="AA37" s="20"/>
      <c r="AB37" s="15">
        <f>G37+O37+W37</f>
        <v>0.25104166666666672</v>
      </c>
      <c r="AC37" s="25">
        <f t="shared" si="21"/>
        <v>0.31944444444444442</v>
      </c>
      <c r="AD37" s="15">
        <f t="shared" si="3"/>
        <v>4.1319444444444464E-2</v>
      </c>
      <c r="AE37" s="19"/>
      <c r="AF37" s="14" t="s">
        <v>68</v>
      </c>
      <c r="AG37" s="26"/>
    </row>
    <row r="38" spans="1:45" s="21" customFormat="1" ht="18" customHeight="1" x14ac:dyDescent="0.25">
      <c r="A38" s="14">
        <v>32</v>
      </c>
      <c r="B38" s="15">
        <v>0.56944444444444442</v>
      </c>
      <c r="C38" s="14" t="s">
        <v>19</v>
      </c>
      <c r="D38" s="30" t="s">
        <v>66</v>
      </c>
      <c r="E38" s="19">
        <v>0.57291666666666663</v>
      </c>
      <c r="F38" s="19">
        <v>0.67708333333333337</v>
      </c>
      <c r="G38" s="33">
        <f t="shared" si="22"/>
        <v>0.10416666666666674</v>
      </c>
      <c r="H38" s="53"/>
      <c r="I38" s="15">
        <f>M36-F36</f>
        <v>1.8194444444443514E-2</v>
      </c>
      <c r="J38" s="53"/>
      <c r="K38" s="14" t="s">
        <v>28</v>
      </c>
      <c r="L38" s="20">
        <v>221</v>
      </c>
      <c r="M38" s="19">
        <v>0.69791666666666663</v>
      </c>
      <c r="N38" s="19">
        <v>0.78937499999999938</v>
      </c>
      <c r="O38" s="19">
        <f t="shared" si="23"/>
        <v>9.1458333333332753E-2</v>
      </c>
      <c r="P38" s="19"/>
      <c r="Q38" s="15">
        <f t="shared" si="24"/>
        <v>1.9097222222221766E-2</v>
      </c>
      <c r="R38" s="20"/>
      <c r="S38" s="20"/>
      <c r="T38" s="20">
        <v>217</v>
      </c>
      <c r="U38" s="19">
        <v>0.80847222222222115</v>
      </c>
      <c r="V38" s="19">
        <v>0.89944444444444305</v>
      </c>
      <c r="W38" s="19">
        <f t="shared" si="25"/>
        <v>9.0972222222221899E-2</v>
      </c>
      <c r="X38" s="20"/>
      <c r="Y38" s="15">
        <v>0.90277777777777779</v>
      </c>
      <c r="Z38" s="14" t="s">
        <v>21</v>
      </c>
      <c r="AA38" s="20"/>
      <c r="AB38" s="15">
        <f>O38+W38</f>
        <v>0.18243055555555465</v>
      </c>
      <c r="AC38" s="25">
        <f t="shared" si="21"/>
        <v>0.33333333333333337</v>
      </c>
      <c r="AD38" s="15">
        <f>I38+Q38</f>
        <v>3.729166666666528E-2</v>
      </c>
      <c r="AE38" s="20"/>
      <c r="AF38" s="20" t="s">
        <v>69</v>
      </c>
      <c r="AG38" s="26"/>
    </row>
    <row r="39" spans="1:45" s="21" customFormat="1" ht="18" customHeight="1" x14ac:dyDescent="0.25">
      <c r="A39" s="44">
        <v>33</v>
      </c>
      <c r="B39" s="15">
        <v>0.57291666666666663</v>
      </c>
      <c r="C39" s="14" t="s">
        <v>19</v>
      </c>
      <c r="D39" s="30" t="s">
        <v>66</v>
      </c>
      <c r="E39" s="19">
        <v>0.57638888888888884</v>
      </c>
      <c r="F39" s="19">
        <v>0.67708333333333337</v>
      </c>
      <c r="G39" s="33">
        <f t="shared" si="22"/>
        <v>0.10069444444444453</v>
      </c>
      <c r="H39" s="53"/>
      <c r="I39" s="15">
        <f>M37-F37</f>
        <v>2.2222222222222143E-2</v>
      </c>
      <c r="J39" s="20"/>
      <c r="K39" s="45"/>
      <c r="L39" s="20">
        <v>206</v>
      </c>
      <c r="M39" s="19">
        <v>0.70083333333333298</v>
      </c>
      <c r="N39" s="19">
        <v>0.79319444444444343</v>
      </c>
      <c r="O39" s="19">
        <f t="shared" si="23"/>
        <v>9.236111111111045E-2</v>
      </c>
      <c r="P39" s="20"/>
      <c r="Q39" s="15">
        <f t="shared" si="24"/>
        <v>1.9097222222222321E-2</v>
      </c>
      <c r="R39" s="20"/>
      <c r="S39" s="20"/>
      <c r="T39" s="20">
        <v>214</v>
      </c>
      <c r="U39" s="19">
        <v>0.81229166666666575</v>
      </c>
      <c r="V39" s="19">
        <v>0.90625</v>
      </c>
      <c r="W39" s="19">
        <f t="shared" si="25"/>
        <v>9.3958333333334254E-2</v>
      </c>
      <c r="X39" s="20" t="s">
        <v>70</v>
      </c>
      <c r="Y39" s="15">
        <v>0.90625</v>
      </c>
      <c r="Z39" s="14" t="s">
        <v>21</v>
      </c>
      <c r="AA39" s="20"/>
      <c r="AB39" s="15">
        <f>O39+W39</f>
        <v>0.1863194444444447</v>
      </c>
      <c r="AC39" s="25">
        <f t="shared" si="21"/>
        <v>0.33333333333333337</v>
      </c>
      <c r="AD39" s="15">
        <f t="shared" si="3"/>
        <v>4.1319444444444464E-2</v>
      </c>
      <c r="AE39" s="19"/>
      <c r="AF39" s="14" t="s">
        <v>71</v>
      </c>
      <c r="AG39" s="26"/>
    </row>
    <row r="40" spans="1:45" s="21" customFormat="1" ht="18" customHeight="1" x14ac:dyDescent="0.25">
      <c r="A40" s="14">
        <v>34</v>
      </c>
      <c r="B40" s="15">
        <v>0.57638888888888895</v>
      </c>
      <c r="C40" s="14" t="s">
        <v>19</v>
      </c>
      <c r="D40" s="20">
        <v>204</v>
      </c>
      <c r="E40" s="19">
        <v>0.58972222222222193</v>
      </c>
      <c r="F40" s="19">
        <v>0.68416666666666592</v>
      </c>
      <c r="G40" s="19">
        <f t="shared" si="22"/>
        <v>9.4444444444443998E-2</v>
      </c>
      <c r="H40" s="20"/>
      <c r="I40" s="15">
        <f>M40-F40</f>
        <v>2.2222222222222032E-2</v>
      </c>
      <c r="J40" s="20"/>
      <c r="K40" s="24"/>
      <c r="L40" s="20">
        <v>207</v>
      </c>
      <c r="M40" s="19">
        <v>0.70638888888888796</v>
      </c>
      <c r="N40" s="19">
        <v>0.80083333333333229</v>
      </c>
      <c r="O40" s="19">
        <f t="shared" si="23"/>
        <v>9.4444444444444331E-2</v>
      </c>
      <c r="P40" s="20"/>
      <c r="Q40" s="15">
        <f t="shared" si="24"/>
        <v>1.9097222222222321E-2</v>
      </c>
      <c r="R40" s="20"/>
      <c r="S40" s="20"/>
      <c r="T40" s="20">
        <v>211</v>
      </c>
      <c r="U40" s="19">
        <v>0.81993055555555461</v>
      </c>
      <c r="V40" s="19">
        <v>0.89861111111111114</v>
      </c>
      <c r="W40" s="19">
        <f t="shared" si="25"/>
        <v>7.8680555555556531E-2</v>
      </c>
      <c r="X40" s="20" t="s">
        <v>59</v>
      </c>
      <c r="Y40" s="15">
        <v>0.90277777777777779</v>
      </c>
      <c r="Z40" s="14" t="s">
        <v>44</v>
      </c>
      <c r="AA40" s="20"/>
      <c r="AB40" s="15">
        <f>G40+O40+W40</f>
        <v>0.26756944444444486</v>
      </c>
      <c r="AC40" s="25">
        <f t="shared" si="21"/>
        <v>0.32638888888888884</v>
      </c>
      <c r="AD40" s="15">
        <f t="shared" si="3"/>
        <v>4.1319444444444353E-2</v>
      </c>
      <c r="AE40" s="19"/>
      <c r="AF40" s="20" t="s">
        <v>72</v>
      </c>
    </row>
    <row r="41" spans="1:45" s="21" customFormat="1" ht="18" customHeight="1" x14ac:dyDescent="0.25">
      <c r="A41" s="14">
        <v>35</v>
      </c>
      <c r="B41" s="15">
        <v>0.58333333333333337</v>
      </c>
      <c r="C41" s="14" t="s">
        <v>19</v>
      </c>
      <c r="D41" s="20">
        <v>216</v>
      </c>
      <c r="E41" s="19">
        <v>0.59527777777777691</v>
      </c>
      <c r="F41" s="19">
        <v>0.6897222222222219</v>
      </c>
      <c r="G41" s="19">
        <f t="shared" si="22"/>
        <v>9.4444444444444997E-2</v>
      </c>
      <c r="H41" s="23"/>
      <c r="I41" s="15">
        <f>M41-F41</f>
        <v>2.1527777777777701E-2</v>
      </c>
      <c r="J41" s="23"/>
      <c r="K41" s="20"/>
      <c r="L41" s="20">
        <v>208</v>
      </c>
      <c r="M41" s="19">
        <v>0.7112499999999996</v>
      </c>
      <c r="N41" s="19">
        <v>0.7817361111111103</v>
      </c>
      <c r="O41" s="19">
        <f t="shared" si="23"/>
        <v>7.0486111111110694E-2</v>
      </c>
      <c r="P41" s="20"/>
      <c r="Q41" s="15">
        <f t="shared" si="24"/>
        <v>1.9097222222221988E-2</v>
      </c>
      <c r="R41" s="23"/>
      <c r="S41" s="20"/>
      <c r="T41" s="20">
        <v>207</v>
      </c>
      <c r="U41" s="19">
        <v>0.80083333333333229</v>
      </c>
      <c r="V41" s="19">
        <v>0.89249999999999863</v>
      </c>
      <c r="W41" s="19">
        <f t="shared" si="25"/>
        <v>9.1666666666666341E-2</v>
      </c>
      <c r="X41" s="20"/>
      <c r="Y41" s="15">
        <v>0.89583333333333337</v>
      </c>
      <c r="Z41" s="14" t="s">
        <v>21</v>
      </c>
      <c r="AA41" s="20"/>
      <c r="AB41" s="15">
        <f>G41+O41+W41</f>
        <v>0.25659722222222203</v>
      </c>
      <c r="AC41" s="25">
        <f t="shared" si="21"/>
        <v>0.3125</v>
      </c>
      <c r="AD41" s="15">
        <f t="shared" si="3"/>
        <v>4.0624999999999689E-2</v>
      </c>
      <c r="AE41" s="19"/>
      <c r="AF41" s="20" t="s">
        <v>73</v>
      </c>
      <c r="AG41" s="26"/>
    </row>
    <row r="42" spans="1:45" s="21" customFormat="1" ht="18" customHeight="1" x14ac:dyDescent="0.25">
      <c r="A42" s="14"/>
      <c r="B42" s="15"/>
      <c r="C42" s="14"/>
      <c r="D42" s="20"/>
      <c r="E42" s="19"/>
      <c r="F42" s="19"/>
      <c r="G42" s="19"/>
      <c r="H42" s="23"/>
      <c r="I42" s="15"/>
      <c r="J42" s="23"/>
      <c r="K42" s="20"/>
      <c r="L42" s="20"/>
      <c r="M42" s="19"/>
      <c r="N42" s="19"/>
      <c r="O42" s="19"/>
      <c r="P42" s="20"/>
      <c r="Q42" s="15"/>
      <c r="R42" s="23"/>
      <c r="S42" s="20"/>
      <c r="T42" s="20"/>
      <c r="U42" s="19"/>
      <c r="V42" s="19"/>
      <c r="W42" s="19"/>
      <c r="X42" s="20"/>
      <c r="Y42" s="15"/>
      <c r="Z42" s="14"/>
      <c r="AA42" s="20"/>
      <c r="AB42" s="15"/>
      <c r="AC42" s="25"/>
      <c r="AD42" s="15"/>
      <c r="AE42" s="19"/>
      <c r="AF42" s="20"/>
      <c r="AG42" s="26"/>
    </row>
    <row r="43" spans="1:45" s="21" customFormat="1" ht="18" customHeight="1" x14ac:dyDescent="0.25">
      <c r="A43" s="14">
        <v>36</v>
      </c>
      <c r="B43" s="15">
        <v>0.54166666666666663</v>
      </c>
      <c r="C43" s="14" t="s">
        <v>19</v>
      </c>
      <c r="D43" s="20">
        <v>220</v>
      </c>
      <c r="E43" s="19">
        <v>0.55083333333333295</v>
      </c>
      <c r="F43" s="19">
        <v>0.64527777777777695</v>
      </c>
      <c r="G43" s="19">
        <f t="shared" ref="G43:G50" si="26">MOD(F43-E43,1)</f>
        <v>9.4444444444443998E-2</v>
      </c>
      <c r="H43" s="20"/>
      <c r="I43" s="15">
        <f t="shared" ref="I43:I50" si="27">M43-F43</f>
        <v>2.222222222222292E-2</v>
      </c>
      <c r="J43" s="20"/>
      <c r="K43" s="24"/>
      <c r="L43" s="20">
        <v>214</v>
      </c>
      <c r="M43" s="19">
        <v>0.66749999999999987</v>
      </c>
      <c r="N43" s="19">
        <v>0.74388888888888871</v>
      </c>
      <c r="O43" s="19">
        <f t="shared" ref="O43:O50" si="28">MOD(N43-M43,1)</f>
        <v>7.638888888888884E-2</v>
      </c>
      <c r="P43" s="20"/>
      <c r="Q43" s="15">
        <f t="shared" ref="Q43:Q50" si="29">U43-N43</f>
        <v>1.8749999999999267E-2</v>
      </c>
      <c r="R43" s="20"/>
      <c r="S43" s="20"/>
      <c r="T43" s="20">
        <v>212</v>
      </c>
      <c r="U43" s="19">
        <v>0.76263888888888798</v>
      </c>
      <c r="V43" s="19">
        <v>0.85430555555555432</v>
      </c>
      <c r="W43" s="19">
        <f t="shared" ref="W43:W50" si="30">MOD(V43-U43,1)</f>
        <v>9.1666666666666341E-2</v>
      </c>
      <c r="X43" s="20"/>
      <c r="Y43" s="15">
        <v>0.86458333333333337</v>
      </c>
      <c r="Z43" s="14" t="s">
        <v>21</v>
      </c>
      <c r="AA43" s="20"/>
      <c r="AB43" s="15">
        <f t="shared" ref="AB43:AB50" si="31">G43+O43+W43</f>
        <v>0.26249999999999918</v>
      </c>
      <c r="AC43" s="25">
        <f t="shared" ref="AC43:AC50" si="32">MOD(Y43-B43,1)</f>
        <v>0.32291666666666674</v>
      </c>
      <c r="AD43" s="15">
        <f t="shared" si="3"/>
        <v>4.0972222222222188E-2</v>
      </c>
      <c r="AE43" s="19"/>
      <c r="AF43" s="20" t="s">
        <v>74</v>
      </c>
      <c r="AG43" s="26"/>
    </row>
    <row r="44" spans="1:45" s="21" customFormat="1" ht="18" customHeight="1" x14ac:dyDescent="0.25">
      <c r="A44" s="14">
        <v>37</v>
      </c>
      <c r="B44" s="15">
        <f>E44-TIME(0,15,0)</f>
        <v>0.59041666666666626</v>
      </c>
      <c r="C44" s="14" t="s">
        <v>19</v>
      </c>
      <c r="D44" s="20">
        <v>205</v>
      </c>
      <c r="E44" s="19">
        <v>0.60083333333333289</v>
      </c>
      <c r="F44" s="19">
        <v>0.69527777777777688</v>
      </c>
      <c r="G44" s="19">
        <f t="shared" si="26"/>
        <v>9.4444444444443998E-2</v>
      </c>
      <c r="H44" s="20"/>
      <c r="I44" s="15">
        <f t="shared" si="27"/>
        <v>2.2222222222222032E-2</v>
      </c>
      <c r="J44" s="20"/>
      <c r="K44" s="24"/>
      <c r="L44" s="20">
        <v>217</v>
      </c>
      <c r="M44" s="19">
        <v>0.71749999999999892</v>
      </c>
      <c r="N44" s="19">
        <v>0.80847222222222115</v>
      </c>
      <c r="O44" s="19">
        <f t="shared" si="28"/>
        <v>9.0972222222222232E-2</v>
      </c>
      <c r="P44" s="20"/>
      <c r="Q44" s="15">
        <f t="shared" si="29"/>
        <v>1.9097222222222321E-2</v>
      </c>
      <c r="R44" s="20"/>
      <c r="S44" s="20"/>
      <c r="T44" s="20">
        <v>218</v>
      </c>
      <c r="U44" s="19">
        <v>0.82756944444444347</v>
      </c>
      <c r="V44" s="19">
        <v>0.90416666666666667</v>
      </c>
      <c r="W44" s="19">
        <f t="shared" si="30"/>
        <v>7.6597222222223205E-2</v>
      </c>
      <c r="X44" s="20" t="s">
        <v>59</v>
      </c>
      <c r="Y44" s="15">
        <v>0.90972222222222221</v>
      </c>
      <c r="Z44" s="14" t="s">
        <v>44</v>
      </c>
      <c r="AA44" s="20"/>
      <c r="AB44" s="15">
        <f t="shared" si="31"/>
        <v>0.26201388888888943</v>
      </c>
      <c r="AC44" s="25">
        <f t="shared" si="32"/>
        <v>0.31930555555555595</v>
      </c>
      <c r="AD44" s="15">
        <f t="shared" si="3"/>
        <v>4.1319444444444353E-2</v>
      </c>
      <c r="AE44" s="19"/>
      <c r="AF44" s="20" t="s">
        <v>75</v>
      </c>
      <c r="AG44" s="26"/>
    </row>
    <row r="45" spans="1:45" s="21" customFormat="1" ht="18" customHeight="1" x14ac:dyDescent="0.25">
      <c r="A45" s="14">
        <v>38</v>
      </c>
      <c r="B45" s="15">
        <v>0.60416666666666663</v>
      </c>
      <c r="C45" s="14" t="s">
        <v>19</v>
      </c>
      <c r="D45" s="20">
        <v>208</v>
      </c>
      <c r="E45" s="19">
        <v>0.61749999999999894</v>
      </c>
      <c r="F45" s="19">
        <v>0.7112499999999996</v>
      </c>
      <c r="G45" s="19">
        <f>MOD(F45-E45,1)</f>
        <v>9.3750000000000666E-2</v>
      </c>
      <c r="H45" s="20"/>
      <c r="I45" s="15">
        <f t="shared" si="27"/>
        <v>3.2638888888889106E-2</v>
      </c>
      <c r="J45" s="20"/>
      <c r="K45" s="20"/>
      <c r="L45" s="20">
        <v>214</v>
      </c>
      <c r="M45" s="19">
        <v>0.74388888888888871</v>
      </c>
      <c r="N45" s="54">
        <v>0.81229166666666575</v>
      </c>
      <c r="O45" s="19">
        <f t="shared" si="28"/>
        <v>6.8402777777777035E-2</v>
      </c>
      <c r="P45" s="20"/>
      <c r="Q45" s="15">
        <f t="shared" si="29"/>
        <v>1.9097222222221988E-2</v>
      </c>
      <c r="R45" s="20"/>
      <c r="S45" s="20"/>
      <c r="T45" s="20">
        <v>220</v>
      </c>
      <c r="U45" s="19">
        <v>0.83138888888888773</v>
      </c>
      <c r="V45" s="19">
        <v>0.89722222222222225</v>
      </c>
      <c r="W45" s="19">
        <f t="shared" si="30"/>
        <v>6.5833333333334521E-2</v>
      </c>
      <c r="X45" s="20" t="s">
        <v>47</v>
      </c>
      <c r="Y45" s="15">
        <v>0.90277777777777779</v>
      </c>
      <c r="Z45" s="14" t="s">
        <v>76</v>
      </c>
      <c r="AA45" s="20"/>
      <c r="AB45" s="15">
        <f t="shared" si="31"/>
        <v>0.22798611111111222</v>
      </c>
      <c r="AC45" s="25">
        <f t="shared" si="32"/>
        <v>0.29861111111111116</v>
      </c>
      <c r="AD45" s="15">
        <f t="shared" si="3"/>
        <v>5.1736111111111094E-2</v>
      </c>
      <c r="AE45" s="19"/>
      <c r="AF45" s="20" t="s">
        <v>77</v>
      </c>
      <c r="AG45" s="26"/>
    </row>
    <row r="46" spans="1:45" s="21" customFormat="1" ht="18" customHeight="1" x14ac:dyDescent="0.25">
      <c r="A46" s="14">
        <v>39</v>
      </c>
      <c r="B46" s="15">
        <v>0.59375</v>
      </c>
      <c r="C46" s="14" t="s">
        <v>19</v>
      </c>
      <c r="D46" s="20">
        <v>206</v>
      </c>
      <c r="E46" s="19">
        <v>0.60638888888888787</v>
      </c>
      <c r="F46" s="19">
        <v>0.70083333333333298</v>
      </c>
      <c r="G46" s="19">
        <f t="shared" si="26"/>
        <v>9.4444444444445108E-2</v>
      </c>
      <c r="H46" s="20"/>
      <c r="I46" s="15">
        <f t="shared" si="27"/>
        <v>2.1527777777777923E-2</v>
      </c>
      <c r="J46" s="20"/>
      <c r="K46" s="24"/>
      <c r="L46" s="20">
        <v>209</v>
      </c>
      <c r="M46" s="19">
        <v>0.7223611111111109</v>
      </c>
      <c r="N46" s="19">
        <v>0.81611111111111001</v>
      </c>
      <c r="O46" s="19">
        <f t="shared" si="28"/>
        <v>9.3749999999999112E-2</v>
      </c>
      <c r="P46" s="20"/>
      <c r="Q46" s="15">
        <f t="shared" si="29"/>
        <v>2.2916666666666585E-2</v>
      </c>
      <c r="R46" s="20"/>
      <c r="S46" s="20"/>
      <c r="T46" s="20">
        <v>201</v>
      </c>
      <c r="U46" s="19">
        <v>0.8390277777777766</v>
      </c>
      <c r="V46" s="19">
        <v>0.90277777777777779</v>
      </c>
      <c r="W46" s="19">
        <f t="shared" si="30"/>
        <v>6.3750000000001195E-2</v>
      </c>
      <c r="X46" s="20" t="s">
        <v>47</v>
      </c>
      <c r="Y46" s="15">
        <v>0.90972222222222221</v>
      </c>
      <c r="Z46" s="14" t="s">
        <v>76</v>
      </c>
      <c r="AA46" s="20"/>
      <c r="AB46" s="15">
        <f t="shared" si="31"/>
        <v>0.25194444444444541</v>
      </c>
      <c r="AC46" s="25">
        <f t="shared" si="32"/>
        <v>0.31597222222222221</v>
      </c>
      <c r="AD46" s="15">
        <f t="shared" si="3"/>
        <v>4.4444444444444509E-2</v>
      </c>
      <c r="AE46" s="19"/>
      <c r="AF46" s="20" t="s">
        <v>78</v>
      </c>
      <c r="AG46" s="26"/>
    </row>
    <row r="47" spans="1:45" s="21" customFormat="1" ht="18" customHeight="1" x14ac:dyDescent="0.25">
      <c r="A47" s="14">
        <v>40</v>
      </c>
      <c r="B47" s="15">
        <v>0.60069444444444442</v>
      </c>
      <c r="C47" s="14" t="s">
        <v>19</v>
      </c>
      <c r="D47" s="20">
        <v>207</v>
      </c>
      <c r="E47" s="19">
        <v>0.61194444444444396</v>
      </c>
      <c r="F47" s="19">
        <v>0.70638888888888796</v>
      </c>
      <c r="G47" s="19">
        <f t="shared" si="26"/>
        <v>9.4444444444443998E-2</v>
      </c>
      <c r="H47" s="20"/>
      <c r="I47" s="15">
        <f t="shared" si="27"/>
        <v>2.1527777777778478E-2</v>
      </c>
      <c r="J47" s="30"/>
      <c r="K47" s="20"/>
      <c r="L47" s="20">
        <v>210</v>
      </c>
      <c r="M47" s="19">
        <v>0.72791666666666643</v>
      </c>
      <c r="N47" s="19">
        <v>0.79701388888888802</v>
      </c>
      <c r="O47" s="19">
        <f t="shared" si="28"/>
        <v>6.9097222222221588E-2</v>
      </c>
      <c r="P47" s="20"/>
      <c r="Q47" s="15">
        <f t="shared" si="29"/>
        <v>1.9097222222221988E-2</v>
      </c>
      <c r="R47" s="30"/>
      <c r="S47" s="20"/>
      <c r="T47" s="20">
        <v>209</v>
      </c>
      <c r="U47" s="19">
        <v>0.81611111111111001</v>
      </c>
      <c r="V47" s="19">
        <v>0.90638888888888747</v>
      </c>
      <c r="W47" s="19">
        <f t="shared" si="30"/>
        <v>9.0277777777777457E-2</v>
      </c>
      <c r="X47" s="20"/>
      <c r="Y47" s="15">
        <v>0.90972222222222221</v>
      </c>
      <c r="Z47" s="14" t="s">
        <v>21</v>
      </c>
      <c r="AA47" s="20"/>
      <c r="AB47" s="15">
        <f t="shared" si="31"/>
        <v>0.25381944444444304</v>
      </c>
      <c r="AC47" s="25">
        <f t="shared" si="32"/>
        <v>0.30902777777777779</v>
      </c>
      <c r="AD47" s="15">
        <f t="shared" si="3"/>
        <v>4.0625000000000466E-2</v>
      </c>
      <c r="AE47" s="19"/>
      <c r="AF47" s="20" t="s">
        <v>79</v>
      </c>
      <c r="AG47" s="26"/>
    </row>
    <row r="48" spans="1:45" s="21" customFormat="1" ht="18" customHeight="1" x14ac:dyDescent="0.25">
      <c r="A48" s="14">
        <v>41</v>
      </c>
      <c r="B48" s="15">
        <v>0.61111111111111105</v>
      </c>
      <c r="C48" s="14" t="s">
        <v>19</v>
      </c>
      <c r="D48" s="20">
        <v>217</v>
      </c>
      <c r="E48" s="19">
        <v>0.62305555555555492</v>
      </c>
      <c r="F48" s="19">
        <v>0.71749999999999892</v>
      </c>
      <c r="G48" s="19">
        <f t="shared" si="26"/>
        <v>9.4444444444443998E-2</v>
      </c>
      <c r="H48" s="20"/>
      <c r="I48" s="15">
        <f t="shared" si="27"/>
        <v>1.9444444444445375E-2</v>
      </c>
      <c r="J48" s="30"/>
      <c r="K48" s="24"/>
      <c r="L48" s="20">
        <v>202</v>
      </c>
      <c r="M48" s="19">
        <v>0.73694444444444429</v>
      </c>
      <c r="N48" s="19">
        <v>0.80465277777777688</v>
      </c>
      <c r="O48" s="19">
        <f t="shared" si="28"/>
        <v>6.7708333333332593E-2</v>
      </c>
      <c r="P48" s="20"/>
      <c r="Q48" s="15">
        <f t="shared" si="29"/>
        <v>4.2013888888888573E-2</v>
      </c>
      <c r="R48" s="30"/>
      <c r="S48" s="23"/>
      <c r="T48" s="20">
        <v>213</v>
      </c>
      <c r="U48" s="19">
        <v>0.84666666666666546</v>
      </c>
      <c r="V48" s="19">
        <v>0.875</v>
      </c>
      <c r="W48" s="19">
        <f>MOD(V48-U48,1)</f>
        <v>2.8333333333334543E-2</v>
      </c>
      <c r="X48" s="20" t="s">
        <v>27</v>
      </c>
      <c r="Y48" s="15">
        <v>0.88541666666666663</v>
      </c>
      <c r="Z48" s="37" t="s">
        <v>28</v>
      </c>
      <c r="AA48" s="20"/>
      <c r="AB48" s="15">
        <f t="shared" si="31"/>
        <v>0.19048611111111113</v>
      </c>
      <c r="AC48" s="25">
        <f t="shared" si="32"/>
        <v>0.27430555555555558</v>
      </c>
      <c r="AD48" s="15">
        <f t="shared" si="3"/>
        <v>6.1458333333333948E-2</v>
      </c>
      <c r="AE48" s="19"/>
      <c r="AF48" s="20" t="s">
        <v>80</v>
      </c>
      <c r="AG48" s="26"/>
      <c r="AP48" s="28"/>
      <c r="AQ48" s="28"/>
      <c r="AR48" s="28"/>
      <c r="AS48" s="28"/>
    </row>
    <row r="49" spans="1:65" s="21" customFormat="1" ht="18" customHeight="1" x14ac:dyDescent="0.25">
      <c r="A49" s="14">
        <v>42</v>
      </c>
      <c r="B49" s="15">
        <f>E49-TIME(0,15,0)</f>
        <v>0.61819444444444416</v>
      </c>
      <c r="C49" s="14" t="s">
        <v>19</v>
      </c>
      <c r="D49" s="20">
        <v>209</v>
      </c>
      <c r="E49" s="19">
        <v>0.62861111111111079</v>
      </c>
      <c r="F49" s="19">
        <v>0.7223611111111109</v>
      </c>
      <c r="G49" s="19">
        <f t="shared" si="26"/>
        <v>9.3750000000000111E-2</v>
      </c>
      <c r="H49" s="20"/>
      <c r="I49" s="15">
        <f t="shared" si="27"/>
        <v>1.8055555555554825E-2</v>
      </c>
      <c r="J49" s="30"/>
      <c r="K49" s="23"/>
      <c r="L49" s="20">
        <v>220</v>
      </c>
      <c r="M49" s="19">
        <v>0.74041666666666572</v>
      </c>
      <c r="N49" s="19">
        <v>0.83138888888888773</v>
      </c>
      <c r="O49" s="19">
        <f t="shared" si="28"/>
        <v>9.097222222222201E-2</v>
      </c>
      <c r="P49" s="20"/>
      <c r="Q49" s="15">
        <f t="shared" si="29"/>
        <v>2.2777777777778896E-2</v>
      </c>
      <c r="R49" s="30"/>
      <c r="S49" s="23"/>
      <c r="T49" s="20">
        <v>212</v>
      </c>
      <c r="U49" s="19">
        <v>0.85416666666666663</v>
      </c>
      <c r="V49" s="19">
        <v>0.88194444444444453</v>
      </c>
      <c r="W49" s="19">
        <f t="shared" si="30"/>
        <v>2.7777777777777901E-2</v>
      </c>
      <c r="X49" s="20" t="s">
        <v>27</v>
      </c>
      <c r="Y49" s="15">
        <v>0.88888888888888884</v>
      </c>
      <c r="Z49" s="37" t="s">
        <v>28</v>
      </c>
      <c r="AA49" s="20"/>
      <c r="AB49" s="15">
        <f t="shared" si="31"/>
        <v>0.21250000000000002</v>
      </c>
      <c r="AC49" s="25">
        <f t="shared" si="32"/>
        <v>0.27069444444444468</v>
      </c>
      <c r="AD49" s="15">
        <f t="shared" si="3"/>
        <v>4.0833333333333721E-2</v>
      </c>
      <c r="AE49" s="19"/>
      <c r="AF49" s="20" t="s">
        <v>81</v>
      </c>
      <c r="AG49" s="26"/>
    </row>
    <row r="50" spans="1:65" ht="18" customHeight="1" x14ac:dyDescent="0.25">
      <c r="A50" s="44">
        <v>43</v>
      </c>
      <c r="B50" s="34">
        <v>0.62152777777777779</v>
      </c>
      <c r="C50" s="14" t="s">
        <v>19</v>
      </c>
      <c r="D50" s="35">
        <v>210</v>
      </c>
      <c r="E50" s="36">
        <v>0.63416666666666632</v>
      </c>
      <c r="F50" s="36">
        <v>0.72791666666666643</v>
      </c>
      <c r="G50" s="36">
        <f t="shared" si="26"/>
        <v>9.3750000000000111E-2</v>
      </c>
      <c r="H50" s="35"/>
      <c r="I50" s="34">
        <f t="shared" si="27"/>
        <v>1.9444444444443709E-2</v>
      </c>
      <c r="J50" s="55"/>
      <c r="K50" s="56"/>
      <c r="L50" s="35">
        <v>201</v>
      </c>
      <c r="M50" s="36">
        <v>0.74736111111111014</v>
      </c>
      <c r="N50" s="36">
        <v>0.8390277777777766</v>
      </c>
      <c r="O50" s="36">
        <f t="shared" si="28"/>
        <v>9.1666666666666452E-2</v>
      </c>
      <c r="P50" s="35"/>
      <c r="Q50" s="34">
        <f t="shared" si="29"/>
        <v>1.9097222222222321E-2</v>
      </c>
      <c r="R50" s="55"/>
      <c r="S50" s="40"/>
      <c r="T50" s="35">
        <v>221</v>
      </c>
      <c r="U50" s="36">
        <v>0.85812499999999892</v>
      </c>
      <c r="V50" s="39">
        <v>0.89166666666666661</v>
      </c>
      <c r="W50" s="36">
        <f t="shared" si="30"/>
        <v>3.3541666666667691E-2</v>
      </c>
      <c r="X50" s="35" t="s">
        <v>26</v>
      </c>
      <c r="Y50" s="34">
        <v>0.89583333333333337</v>
      </c>
      <c r="Z50" s="37" t="s">
        <v>44</v>
      </c>
      <c r="AA50" s="35"/>
      <c r="AB50" s="15">
        <f t="shared" si="31"/>
        <v>0.21895833333333425</v>
      </c>
      <c r="AC50" s="25">
        <f t="shared" si="32"/>
        <v>0.27430555555555558</v>
      </c>
      <c r="AD50" s="34">
        <f t="shared" si="3"/>
        <v>3.854166666666603E-2</v>
      </c>
      <c r="AE50" s="36"/>
      <c r="AF50" s="35" t="s">
        <v>82</v>
      </c>
      <c r="AG50" s="41"/>
    </row>
    <row r="51" spans="1:65" s="21" customFormat="1" ht="18" customHeight="1" x14ac:dyDescent="0.25">
      <c r="A51" s="14"/>
      <c r="B51" s="15"/>
      <c r="C51" s="14"/>
      <c r="D51" s="20"/>
      <c r="E51" s="19"/>
      <c r="F51" s="19"/>
      <c r="G51" s="19"/>
      <c r="H51" s="20"/>
      <c r="I51" s="15"/>
      <c r="J51" s="30"/>
      <c r="K51" s="24"/>
      <c r="L51" s="20"/>
      <c r="M51" s="19"/>
      <c r="N51" s="19"/>
      <c r="O51" s="19"/>
      <c r="P51" s="20"/>
      <c r="Q51" s="15"/>
      <c r="R51" s="30"/>
      <c r="S51" s="23"/>
      <c r="T51" s="20"/>
      <c r="U51" s="19"/>
      <c r="V51" s="33"/>
      <c r="W51" s="19"/>
      <c r="X51" s="20"/>
      <c r="Y51" s="15"/>
      <c r="Z51" s="14"/>
      <c r="AA51" s="20"/>
      <c r="AB51" s="15"/>
      <c r="AC51" s="25"/>
      <c r="AD51" s="15"/>
      <c r="AE51" s="19"/>
      <c r="AF51" s="20"/>
      <c r="AG51" s="26"/>
    </row>
    <row r="52" spans="1:65" s="21" customFormat="1" ht="18" customHeight="1" x14ac:dyDescent="0.25">
      <c r="A52" s="44">
        <v>44</v>
      </c>
      <c r="B52" s="15">
        <v>0.59027777777777779</v>
      </c>
      <c r="C52" s="14" t="s">
        <v>19</v>
      </c>
      <c r="D52" s="30" t="s">
        <v>66</v>
      </c>
      <c r="E52" s="19">
        <v>0.59375</v>
      </c>
      <c r="F52" s="19">
        <v>0.72916666666666663</v>
      </c>
      <c r="G52" s="33">
        <f t="shared" ref="G52:G58" si="33">MOD(F52-E52,1)</f>
        <v>0.13541666666666663</v>
      </c>
      <c r="H52" s="20"/>
      <c r="I52" s="15">
        <f t="shared" ref="I52:I58" si="34">M52-F52</f>
        <v>2.2013888888888333E-2</v>
      </c>
      <c r="J52" s="20"/>
      <c r="K52" s="20"/>
      <c r="L52" s="20">
        <v>211</v>
      </c>
      <c r="M52" s="19">
        <v>0.75118055555555496</v>
      </c>
      <c r="N52" s="19">
        <v>0.81993055555555461</v>
      </c>
      <c r="O52" s="19">
        <f t="shared" ref="O52:O58" si="35">MOD(N52-M52,1)</f>
        <v>6.8749999999999645E-2</v>
      </c>
      <c r="P52" s="20"/>
      <c r="Q52" s="15">
        <f t="shared" ref="Q52:Q58" si="36">U52-N52</f>
        <v>2.2916666666666585E-2</v>
      </c>
      <c r="R52" s="20"/>
      <c r="S52" s="23"/>
      <c r="T52" s="20">
        <v>203</v>
      </c>
      <c r="U52" s="19">
        <v>0.84284722222222119</v>
      </c>
      <c r="V52" s="19">
        <v>0.90972222222222221</v>
      </c>
      <c r="W52" s="19">
        <f t="shared" ref="W52:W58" si="37">MOD(V52-U52,1)</f>
        <v>6.6875000000001017E-2</v>
      </c>
      <c r="X52" s="20" t="s">
        <v>47</v>
      </c>
      <c r="Y52" s="15">
        <v>0.91319444444444453</v>
      </c>
      <c r="Z52" s="14" t="s">
        <v>76</v>
      </c>
      <c r="AA52" s="20"/>
      <c r="AB52" s="15">
        <f>O52+W52</f>
        <v>0.13562500000000066</v>
      </c>
      <c r="AC52" s="25">
        <f t="shared" ref="AC52:AC58" si="38">MOD(Y52-B52,1)</f>
        <v>0.32291666666666674</v>
      </c>
      <c r="AD52" s="15">
        <f t="shared" si="3"/>
        <v>4.4930555555554919E-2</v>
      </c>
      <c r="AE52" s="19"/>
      <c r="AF52" s="20" t="s">
        <v>83</v>
      </c>
      <c r="AG52" s="26"/>
    </row>
    <row r="53" spans="1:65" s="21" customFormat="1" ht="18" customHeight="1" x14ac:dyDescent="0.25">
      <c r="A53" s="14">
        <v>45</v>
      </c>
      <c r="B53" s="15">
        <v>0.63194444444444442</v>
      </c>
      <c r="C53" s="14" t="s">
        <v>19</v>
      </c>
      <c r="D53" s="20">
        <v>220</v>
      </c>
      <c r="E53" s="19">
        <v>0.64527777777777695</v>
      </c>
      <c r="F53" s="19">
        <v>0.74041666666666572</v>
      </c>
      <c r="G53" s="19">
        <f t="shared" si="33"/>
        <v>9.5138888888888773E-2</v>
      </c>
      <c r="H53" s="20"/>
      <c r="I53" s="15">
        <f t="shared" si="34"/>
        <v>1.8402777777778101E-2</v>
      </c>
      <c r="J53" s="20"/>
      <c r="K53" s="20"/>
      <c r="L53" s="20">
        <v>218</v>
      </c>
      <c r="M53" s="19">
        <v>0.75881944444444382</v>
      </c>
      <c r="N53" s="19">
        <v>0.82756944444444347</v>
      </c>
      <c r="O53" s="19">
        <f t="shared" si="35"/>
        <v>6.8749999999999645E-2</v>
      </c>
      <c r="P53" s="20"/>
      <c r="Q53" s="15">
        <f t="shared" si="36"/>
        <v>2.2916666666666585E-2</v>
      </c>
      <c r="R53" s="20"/>
      <c r="S53" s="23"/>
      <c r="T53" s="20">
        <v>208</v>
      </c>
      <c r="U53" s="19">
        <v>0.85048611111111005</v>
      </c>
      <c r="V53" s="33">
        <v>0.89861111111111114</v>
      </c>
      <c r="W53" s="19">
        <f t="shared" si="37"/>
        <v>4.8125000000001084E-2</v>
      </c>
      <c r="X53" s="20" t="s">
        <v>84</v>
      </c>
      <c r="Y53" s="15">
        <v>0.90277777777777779</v>
      </c>
      <c r="Z53" s="14" t="s">
        <v>76</v>
      </c>
      <c r="AA53" s="20"/>
      <c r="AB53" s="15">
        <f t="shared" ref="AB53:AB58" si="39">G53+O53+W53</f>
        <v>0.2120138888888895</v>
      </c>
      <c r="AC53" s="25">
        <f t="shared" si="38"/>
        <v>0.27083333333333337</v>
      </c>
      <c r="AD53" s="15">
        <f t="shared" si="3"/>
        <v>4.1319444444444686E-2</v>
      </c>
      <c r="AE53" s="19"/>
      <c r="AF53" s="20" t="s">
        <v>85</v>
      </c>
      <c r="AG53" s="26"/>
    </row>
    <row r="54" spans="1:65" s="42" customFormat="1" ht="18" customHeight="1" x14ac:dyDescent="0.25">
      <c r="A54" s="44">
        <v>46</v>
      </c>
      <c r="B54" s="34">
        <f>E54-TIME(0,15,0)</f>
        <v>0.64597222222222228</v>
      </c>
      <c r="C54" s="14" t="s">
        <v>19</v>
      </c>
      <c r="D54" s="35">
        <v>202</v>
      </c>
      <c r="E54" s="36">
        <v>0.65638888888888891</v>
      </c>
      <c r="F54" s="36">
        <v>0.73694444444444429</v>
      </c>
      <c r="G54" s="36">
        <f t="shared" si="33"/>
        <v>8.055555555555538E-2</v>
      </c>
      <c r="H54" s="35"/>
      <c r="I54" s="34">
        <f t="shared" si="34"/>
        <v>1.8055555555554825E-2</v>
      </c>
      <c r="J54" s="35"/>
      <c r="K54" s="57"/>
      <c r="L54" s="35">
        <v>213</v>
      </c>
      <c r="M54" s="36">
        <v>0.75499999999999912</v>
      </c>
      <c r="N54" s="36">
        <v>0.84666666666666546</v>
      </c>
      <c r="O54" s="36">
        <f t="shared" si="35"/>
        <v>9.1666666666666341E-2</v>
      </c>
      <c r="P54" s="35"/>
      <c r="Q54" s="34">
        <f t="shared" si="36"/>
        <v>1.9097222222222321E-2</v>
      </c>
      <c r="R54" s="35"/>
      <c r="S54" s="40"/>
      <c r="T54" s="35">
        <v>210</v>
      </c>
      <c r="U54" s="36">
        <v>0.86576388888888778</v>
      </c>
      <c r="V54" s="39">
        <v>0.89861111111111114</v>
      </c>
      <c r="W54" s="36">
        <f t="shared" si="37"/>
        <v>3.284722222222336E-2</v>
      </c>
      <c r="X54" s="35" t="s">
        <v>26</v>
      </c>
      <c r="Y54" s="34">
        <v>0.90277777777777779</v>
      </c>
      <c r="Z54" s="37" t="s">
        <v>44</v>
      </c>
      <c r="AA54" s="35"/>
      <c r="AB54" s="15">
        <f t="shared" si="39"/>
        <v>0.20506944444444508</v>
      </c>
      <c r="AC54" s="25">
        <f t="shared" si="38"/>
        <v>0.25680555555555551</v>
      </c>
      <c r="AD54" s="34">
        <f t="shared" si="3"/>
        <v>3.7152777777777146E-2</v>
      </c>
      <c r="AE54" s="36"/>
      <c r="AF54" s="35" t="s">
        <v>86</v>
      </c>
      <c r="AG54" s="41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spans="1:65" s="58" customFormat="1" ht="18" customHeight="1" x14ac:dyDescent="0.25">
      <c r="A55" s="44">
        <v>47</v>
      </c>
      <c r="B55" s="15">
        <v>0.64583333333333337</v>
      </c>
      <c r="C55" s="14" t="s">
        <v>59</v>
      </c>
      <c r="D55" s="20">
        <v>212</v>
      </c>
      <c r="E55" s="19">
        <v>0.65694444444444444</v>
      </c>
      <c r="F55" s="19">
        <v>0.67236111111111085</v>
      </c>
      <c r="G55" s="19">
        <f t="shared" si="33"/>
        <v>1.5416666666666412E-2</v>
      </c>
      <c r="H55" s="20"/>
      <c r="I55" s="15">
        <f t="shared" si="34"/>
        <v>1.180555555555507E-2</v>
      </c>
      <c r="J55" s="20"/>
      <c r="K55" s="23"/>
      <c r="L55" s="20">
        <v>204</v>
      </c>
      <c r="M55" s="19">
        <v>0.68416666666666592</v>
      </c>
      <c r="N55" s="19">
        <v>0.7779166666666657</v>
      </c>
      <c r="O55" s="19">
        <f t="shared" si="35"/>
        <v>9.3749999999999778E-2</v>
      </c>
      <c r="P55" s="20"/>
      <c r="Q55" s="15">
        <f t="shared" si="36"/>
        <v>1.9097222222222321E-2</v>
      </c>
      <c r="R55" s="20"/>
      <c r="S55" s="23"/>
      <c r="T55" s="20">
        <v>210</v>
      </c>
      <c r="U55" s="19">
        <v>0.79701388888888802</v>
      </c>
      <c r="V55" s="19">
        <v>0.86576388888888778</v>
      </c>
      <c r="W55" s="19">
        <f t="shared" si="37"/>
        <v>6.8749999999999756E-2</v>
      </c>
      <c r="X55" s="20"/>
      <c r="Y55" s="15">
        <v>0.875</v>
      </c>
      <c r="Z55" s="14" t="s">
        <v>21</v>
      </c>
      <c r="AA55" s="20"/>
      <c r="AB55" s="15">
        <f t="shared" si="39"/>
        <v>0.17791666666666595</v>
      </c>
      <c r="AC55" s="25">
        <f t="shared" si="38"/>
        <v>0.22916666666666663</v>
      </c>
      <c r="AD55" s="15">
        <f t="shared" si="3"/>
        <v>3.090277777777739E-2</v>
      </c>
      <c r="AE55" s="19"/>
      <c r="AF55" s="20" t="s">
        <v>87</v>
      </c>
      <c r="AG55" s="26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spans="1:65" s="21" customFormat="1" ht="18" customHeight="1" x14ac:dyDescent="0.25">
      <c r="A56" s="14">
        <v>48</v>
      </c>
      <c r="B56" s="15">
        <v>0.64930555555555558</v>
      </c>
      <c r="C56" s="14" t="s">
        <v>19</v>
      </c>
      <c r="D56" s="20">
        <v>213</v>
      </c>
      <c r="E56" s="19">
        <v>0.66194444444444389</v>
      </c>
      <c r="F56" s="19">
        <v>0.75499999999999912</v>
      </c>
      <c r="G56" s="19">
        <f t="shared" si="33"/>
        <v>9.3055555555555225E-2</v>
      </c>
      <c r="H56" s="20"/>
      <c r="I56" s="15">
        <f t="shared" si="34"/>
        <v>1.9097222222222432E-2</v>
      </c>
      <c r="J56" s="20"/>
      <c r="K56" s="20"/>
      <c r="L56" s="20">
        <v>203</v>
      </c>
      <c r="M56" s="19">
        <v>0.77409722222222155</v>
      </c>
      <c r="N56" s="19">
        <v>0.84284722222222119</v>
      </c>
      <c r="O56" s="19">
        <f t="shared" si="35"/>
        <v>6.8749999999999645E-2</v>
      </c>
      <c r="P56" s="20"/>
      <c r="Q56" s="15">
        <f t="shared" si="36"/>
        <v>3.4374999999999711E-2</v>
      </c>
      <c r="R56" s="20"/>
      <c r="S56" s="23"/>
      <c r="T56" s="20">
        <v>216</v>
      </c>
      <c r="U56" s="19">
        <v>0.8772222222222209</v>
      </c>
      <c r="V56" s="33">
        <v>0.9</v>
      </c>
      <c r="W56" s="19">
        <f>MOD(V56-U56,1)</f>
        <v>2.2777777777779118E-2</v>
      </c>
      <c r="X56" s="20" t="s">
        <v>35</v>
      </c>
      <c r="Y56" s="15">
        <v>0.90277777777777779</v>
      </c>
      <c r="Z56" s="14" t="s">
        <v>21</v>
      </c>
      <c r="AA56" s="20"/>
      <c r="AB56" s="15">
        <f t="shared" si="39"/>
        <v>0.18458333333333399</v>
      </c>
      <c r="AC56" s="25">
        <f t="shared" si="38"/>
        <v>0.25347222222222221</v>
      </c>
      <c r="AD56" s="15">
        <f t="shared" si="3"/>
        <v>5.3472222222222143E-2</v>
      </c>
      <c r="AE56" s="19"/>
      <c r="AF56" s="20" t="s">
        <v>88</v>
      </c>
      <c r="AG56" s="26"/>
    </row>
    <row r="57" spans="1:65" s="21" customFormat="1" ht="18" customHeight="1" x14ac:dyDescent="0.25">
      <c r="A57" s="14">
        <v>49</v>
      </c>
      <c r="B57" s="15">
        <f>E57-TIME(0,15,0)</f>
        <v>0.65625</v>
      </c>
      <c r="C57" s="14" t="s">
        <v>40</v>
      </c>
      <c r="D57" s="20">
        <v>218</v>
      </c>
      <c r="E57" s="19">
        <v>0.66666666666666663</v>
      </c>
      <c r="F57" s="19">
        <v>0.75881944444444382</v>
      </c>
      <c r="G57" s="19">
        <f t="shared" si="33"/>
        <v>9.2152777777777195E-2</v>
      </c>
      <c r="H57" s="20"/>
      <c r="I57" s="15">
        <f t="shared" si="34"/>
        <v>1.9097222222221877E-2</v>
      </c>
      <c r="J57" s="20"/>
      <c r="K57" s="59"/>
      <c r="L57" s="20">
        <v>204</v>
      </c>
      <c r="M57" s="19">
        <v>0.7779166666666657</v>
      </c>
      <c r="N57" s="19">
        <v>0.86958333333333204</v>
      </c>
      <c r="O57" s="19">
        <f t="shared" si="35"/>
        <v>9.1666666666666341E-2</v>
      </c>
      <c r="P57" s="20"/>
      <c r="Q57" s="15">
        <f t="shared" si="36"/>
        <v>1.5277777777777724E-2</v>
      </c>
      <c r="R57" s="20"/>
      <c r="S57" s="23"/>
      <c r="T57" s="20">
        <v>206</v>
      </c>
      <c r="U57" s="19">
        <v>0.88486111111110977</v>
      </c>
      <c r="V57" s="33">
        <v>0.90694444444444444</v>
      </c>
      <c r="W57" s="19">
        <f t="shared" si="37"/>
        <v>2.2083333333334676E-2</v>
      </c>
      <c r="X57" s="20" t="s">
        <v>35</v>
      </c>
      <c r="Y57" s="15">
        <v>0.90972222222222221</v>
      </c>
      <c r="Z57" s="14" t="s">
        <v>21</v>
      </c>
      <c r="AA57" s="20"/>
      <c r="AB57" s="15">
        <f t="shared" si="39"/>
        <v>0.20590277777777821</v>
      </c>
      <c r="AC57" s="25">
        <f t="shared" si="38"/>
        <v>0.25347222222222221</v>
      </c>
      <c r="AD57" s="15">
        <f t="shared" si="3"/>
        <v>3.43749999999996E-2</v>
      </c>
      <c r="AE57" s="19"/>
      <c r="AF57" s="20" t="s">
        <v>89</v>
      </c>
      <c r="AG57" s="26"/>
      <c r="AP57" s="28"/>
      <c r="AQ57" s="28"/>
      <c r="AR57" s="28"/>
      <c r="AS57" s="28"/>
    </row>
    <row r="58" spans="1:65" s="21" customFormat="1" ht="18" customHeight="1" x14ac:dyDescent="0.25">
      <c r="A58" s="14">
        <v>50</v>
      </c>
      <c r="B58" s="15">
        <v>0.65972222222222221</v>
      </c>
      <c r="C58" s="14" t="s">
        <v>19</v>
      </c>
      <c r="D58" s="20">
        <v>212</v>
      </c>
      <c r="E58" s="19">
        <v>0.67236111111111085</v>
      </c>
      <c r="F58" s="19">
        <v>0.76263888888888798</v>
      </c>
      <c r="G58" s="19">
        <f t="shared" si="33"/>
        <v>9.0277777777777124E-2</v>
      </c>
      <c r="H58" s="20"/>
      <c r="I58" s="15">
        <f t="shared" si="34"/>
        <v>1.9097222222222321E-2</v>
      </c>
      <c r="J58" s="20"/>
      <c r="K58" s="30"/>
      <c r="L58" s="20">
        <v>208</v>
      </c>
      <c r="M58" s="19">
        <v>0.7817361111111103</v>
      </c>
      <c r="N58" s="19">
        <v>0.85048611111111005</v>
      </c>
      <c r="O58" s="19">
        <f t="shared" si="35"/>
        <v>6.8749999999999756E-2</v>
      </c>
      <c r="P58" s="20"/>
      <c r="Q58" s="15">
        <f t="shared" si="36"/>
        <v>1.9097222222221988E-2</v>
      </c>
      <c r="R58" s="20"/>
      <c r="S58" s="23"/>
      <c r="T58" s="20">
        <v>204</v>
      </c>
      <c r="U58" s="19">
        <v>0.86958333333333204</v>
      </c>
      <c r="V58" s="19">
        <v>0.89583333333333337</v>
      </c>
      <c r="W58" s="19">
        <f t="shared" si="37"/>
        <v>2.6250000000001328E-2</v>
      </c>
      <c r="X58" s="20" t="s">
        <v>27</v>
      </c>
      <c r="Y58" s="15">
        <v>0.90277777777777779</v>
      </c>
      <c r="Z58" s="37" t="s">
        <v>28</v>
      </c>
      <c r="AA58" s="20"/>
      <c r="AB58" s="15">
        <f t="shared" si="39"/>
        <v>0.18527777777777821</v>
      </c>
      <c r="AC58" s="25">
        <f t="shared" si="38"/>
        <v>0.24305555555555558</v>
      </c>
      <c r="AD58" s="15">
        <f t="shared" si="3"/>
        <v>3.8194444444444309E-2</v>
      </c>
      <c r="AE58" s="19"/>
      <c r="AF58" s="20" t="s">
        <v>90</v>
      </c>
      <c r="AG58" s="26"/>
      <c r="AP58" s="28"/>
      <c r="AQ58" s="28"/>
      <c r="AR58" s="28"/>
      <c r="AS58" s="28"/>
    </row>
    <row r="59" spans="1:65" s="21" customFormat="1" ht="18" customHeight="1" x14ac:dyDescent="0.25">
      <c r="A59" s="14"/>
      <c r="B59" s="15"/>
      <c r="C59" s="14"/>
      <c r="D59" s="20"/>
      <c r="E59" s="19"/>
      <c r="F59" s="19"/>
      <c r="G59" s="19"/>
      <c r="H59" s="20"/>
      <c r="I59" s="15"/>
      <c r="J59" s="20"/>
      <c r="K59" s="30"/>
      <c r="L59" s="20"/>
      <c r="M59" s="19"/>
      <c r="N59" s="19"/>
      <c r="O59" s="19"/>
      <c r="P59" s="20"/>
      <c r="Q59" s="15"/>
      <c r="R59" s="20"/>
      <c r="S59" s="23"/>
      <c r="T59" s="20"/>
      <c r="U59" s="19"/>
      <c r="V59" s="19"/>
      <c r="W59" s="19"/>
      <c r="X59" s="20"/>
      <c r="Y59" s="15"/>
      <c r="Z59" s="14"/>
      <c r="AA59" s="20"/>
      <c r="AB59" s="15"/>
      <c r="AC59" s="25"/>
      <c r="AD59" s="15"/>
      <c r="AE59" s="19"/>
      <c r="AF59" s="20"/>
      <c r="AG59" s="26"/>
      <c r="AP59" s="28"/>
      <c r="AQ59" s="28"/>
      <c r="AR59" s="28"/>
      <c r="AS59" s="28"/>
    </row>
    <row r="60" spans="1:65" s="21" customFormat="1" ht="18" customHeight="1" x14ac:dyDescent="0.25">
      <c r="A60" s="14">
        <v>51</v>
      </c>
      <c r="B60" s="15">
        <f>E60-TIME(0,15,0)</f>
        <v>0.64930555555555558</v>
      </c>
      <c r="C60" s="14" t="s">
        <v>40</v>
      </c>
      <c r="D60" s="20">
        <v>211</v>
      </c>
      <c r="E60" s="19">
        <v>0.65972222222222221</v>
      </c>
      <c r="F60" s="19">
        <v>0.75069444444444444</v>
      </c>
      <c r="G60" s="19">
        <f>MOD(F60-E60,1)</f>
        <v>9.0972222222222232E-2</v>
      </c>
      <c r="H60" s="20"/>
      <c r="I60" s="15">
        <f>M60-F60</f>
        <v>3.8680555555554941E-2</v>
      </c>
      <c r="J60" s="20"/>
      <c r="K60" s="30"/>
      <c r="L60" s="20">
        <v>221</v>
      </c>
      <c r="M60" s="19">
        <v>0.78937499999999938</v>
      </c>
      <c r="N60" s="19">
        <v>0.85812499999999892</v>
      </c>
      <c r="O60" s="19">
        <f>MOD(N60-M60,1)</f>
        <v>6.8749999999999534E-2</v>
      </c>
      <c r="P60" s="20"/>
      <c r="Q60" s="15">
        <f>U60-N60</f>
        <v>1.5277777777777724E-2</v>
      </c>
      <c r="R60" s="20"/>
      <c r="S60" s="23"/>
      <c r="T60" s="20">
        <v>202</v>
      </c>
      <c r="U60" s="19">
        <v>0.87340277777777664</v>
      </c>
      <c r="V60" s="33">
        <v>0.90555555555555556</v>
      </c>
      <c r="W60" s="19">
        <f>MOD(V60-U60,1)</f>
        <v>3.2152777777778918E-2</v>
      </c>
      <c r="X60" s="20" t="s">
        <v>26</v>
      </c>
      <c r="Y60" s="15">
        <v>0.90972222222222221</v>
      </c>
      <c r="Z60" s="14" t="s">
        <v>44</v>
      </c>
      <c r="AA60" s="20"/>
      <c r="AB60" s="15">
        <f>G60+O60+W60</f>
        <v>0.19187500000000068</v>
      </c>
      <c r="AC60" s="25">
        <f>MOD(Y60-B60,1)</f>
        <v>0.26041666666666663</v>
      </c>
      <c r="AD60" s="15">
        <f t="shared" si="3"/>
        <v>5.3958333333332664E-2</v>
      </c>
      <c r="AE60" s="19"/>
      <c r="AF60" s="20" t="s">
        <v>91</v>
      </c>
      <c r="AG60" s="26"/>
    </row>
    <row r="61" spans="1:65" s="21" customFormat="1" ht="18" customHeight="1" x14ac:dyDescent="0.25">
      <c r="A61" s="14">
        <v>52</v>
      </c>
      <c r="B61" s="15">
        <v>0.67013888888888884</v>
      </c>
      <c r="C61" s="14" t="s">
        <v>40</v>
      </c>
      <c r="D61" s="20">
        <v>203</v>
      </c>
      <c r="E61" s="19">
        <v>0.68055555555555547</v>
      </c>
      <c r="F61" s="19">
        <v>0.77409722222222155</v>
      </c>
      <c r="G61" s="19">
        <f>MOD(F61-E61,1)</f>
        <v>9.3541666666666079E-2</v>
      </c>
      <c r="H61" s="20"/>
      <c r="I61" s="15">
        <f>M61-F61</f>
        <v>1.9097222222221877E-2</v>
      </c>
      <c r="J61" s="20"/>
      <c r="K61" s="20"/>
      <c r="L61" s="20">
        <v>206</v>
      </c>
      <c r="M61" s="19">
        <v>0.79319444444444343</v>
      </c>
      <c r="N61" s="19">
        <v>0.88486111111110977</v>
      </c>
      <c r="O61" s="19">
        <f>MOD(N61-M61,1)</f>
        <v>9.1666666666666341E-2</v>
      </c>
      <c r="P61" s="20"/>
      <c r="Q61" s="15"/>
      <c r="R61" s="20"/>
      <c r="S61" s="20"/>
      <c r="T61" s="20"/>
      <c r="U61" s="19"/>
      <c r="V61" s="19"/>
      <c r="W61" s="19"/>
      <c r="X61" s="20"/>
      <c r="Y61" s="15">
        <v>0.89583333333333337</v>
      </c>
      <c r="Z61" s="14" t="s">
        <v>21</v>
      </c>
      <c r="AA61" s="20"/>
      <c r="AB61" s="15">
        <f>G61+O61+W61</f>
        <v>0.18520833333333242</v>
      </c>
      <c r="AC61" s="25">
        <f>MOD(Y61-B61,1)</f>
        <v>0.22569444444444453</v>
      </c>
      <c r="AD61" s="15">
        <f t="shared" si="3"/>
        <v>1.9097222222221877E-2</v>
      </c>
      <c r="AE61" s="19"/>
      <c r="AF61" s="20" t="s">
        <v>92</v>
      </c>
      <c r="AG61" s="26"/>
    </row>
    <row r="62" spans="1:65" s="21" customFormat="1" ht="18" customHeight="1" x14ac:dyDescent="0.25">
      <c r="A62" s="44">
        <v>53</v>
      </c>
      <c r="B62" s="15">
        <v>0.67708333333333337</v>
      </c>
      <c r="C62" s="14" t="s">
        <v>19</v>
      </c>
      <c r="D62" s="20">
        <v>216</v>
      </c>
      <c r="E62" s="19">
        <v>0.6897222222222219</v>
      </c>
      <c r="F62" s="19">
        <v>0.78555555555555456</v>
      </c>
      <c r="G62" s="19">
        <f>MOD(F62-E62,1)</f>
        <v>9.583333333333266E-2</v>
      </c>
      <c r="H62" s="20"/>
      <c r="I62" s="15">
        <f>M62-F62</f>
        <v>1.9097222222222321E-2</v>
      </c>
      <c r="J62" s="20"/>
      <c r="K62" s="24"/>
      <c r="L62" s="20">
        <v>202</v>
      </c>
      <c r="M62" s="19">
        <v>0.80465277777777688</v>
      </c>
      <c r="N62" s="19">
        <v>0.87340277777777664</v>
      </c>
      <c r="O62" s="19">
        <f>MOD(N62-M62,1)</f>
        <v>6.8749999999999756E-2</v>
      </c>
      <c r="P62" s="20"/>
      <c r="Q62" s="15">
        <f>U62-N62</f>
        <v>1.9097222222221988E-2</v>
      </c>
      <c r="R62" s="20"/>
      <c r="S62" s="20"/>
      <c r="T62" s="20">
        <v>207</v>
      </c>
      <c r="U62" s="19">
        <v>0.89249999999999863</v>
      </c>
      <c r="V62" s="33">
        <v>0.91388888888888886</v>
      </c>
      <c r="W62" s="19">
        <f>MOD(V62-U62,1)</f>
        <v>2.1388888888890234E-2</v>
      </c>
      <c r="X62" s="20" t="s">
        <v>35</v>
      </c>
      <c r="Y62" s="15">
        <v>0.91666666666666663</v>
      </c>
      <c r="Z62" s="14" t="s">
        <v>21</v>
      </c>
      <c r="AA62" s="20"/>
      <c r="AB62" s="15">
        <f>G62+O62+W62</f>
        <v>0.18597222222222265</v>
      </c>
      <c r="AC62" s="25">
        <f>MOD(Y62-B62,1)</f>
        <v>0.23958333333333326</v>
      </c>
      <c r="AD62" s="15">
        <f t="shared" si="3"/>
        <v>3.8194444444444309E-2</v>
      </c>
      <c r="AE62" s="20"/>
      <c r="AF62" s="20" t="s">
        <v>93</v>
      </c>
      <c r="AG62" s="26"/>
    </row>
    <row r="63" spans="1:65" s="21" customFormat="1" ht="18" customHeight="1" x14ac:dyDescent="0.25">
      <c r="A63" s="60"/>
      <c r="B63" s="61"/>
      <c r="C63" s="60"/>
      <c r="D63" s="46"/>
      <c r="E63" s="62"/>
      <c r="F63" s="62"/>
      <c r="G63" s="19"/>
      <c r="H63" s="46"/>
      <c r="I63" s="61"/>
      <c r="J63" s="46"/>
      <c r="K63" s="63"/>
      <c r="L63" s="46"/>
      <c r="M63" s="62"/>
      <c r="N63" s="62"/>
      <c r="O63" s="62"/>
      <c r="P63" s="46"/>
      <c r="Q63" s="61"/>
      <c r="R63" s="46"/>
      <c r="S63" s="46"/>
      <c r="T63" s="64"/>
      <c r="U63" s="65"/>
      <c r="V63" s="66"/>
      <c r="W63" s="65"/>
      <c r="X63" s="46"/>
      <c r="Y63" s="67"/>
      <c r="Z63" s="60"/>
      <c r="AA63" s="46"/>
      <c r="AB63" s="15"/>
      <c r="AC63" s="25"/>
      <c r="AD63" s="15"/>
      <c r="AE63" s="20"/>
      <c r="AF63" s="20"/>
      <c r="AG63" s="26"/>
    </row>
    <row r="64" spans="1:65" s="21" customFormat="1" ht="18" customHeight="1" x14ac:dyDescent="0.25">
      <c r="A64" s="68" t="s">
        <v>94</v>
      </c>
      <c r="B64" s="69">
        <v>0.25</v>
      </c>
      <c r="C64" s="70" t="s">
        <v>95</v>
      </c>
      <c r="D64" s="71" t="s">
        <v>96</v>
      </c>
      <c r="E64" s="72">
        <v>0.25347222222222221</v>
      </c>
      <c r="F64" s="72">
        <v>0.35187499999999994</v>
      </c>
      <c r="G64" s="72">
        <f t="shared" ref="G64:G69" si="40">MOD(F64-E64,1)</f>
        <v>9.8402777777777728E-2</v>
      </c>
      <c r="H64" s="73"/>
      <c r="I64" s="74">
        <f>M64-F64</f>
        <v>3.0555555555555447E-2</v>
      </c>
      <c r="J64" s="75"/>
      <c r="K64" s="75"/>
      <c r="L64" s="71" t="s">
        <v>97</v>
      </c>
      <c r="M64" s="72">
        <v>0.38243055555555538</v>
      </c>
      <c r="N64" s="72">
        <v>0.4511805555555552</v>
      </c>
      <c r="O64" s="72">
        <f t="shared" ref="O64:O66" si="41">MOD(N64-M64,1)</f>
        <v>6.8749999999999811E-2</v>
      </c>
      <c r="P64" s="75"/>
      <c r="Q64" s="74">
        <f t="shared" ref="Q64:Q69" si="42">U64-N64</f>
        <v>3.8194444444444309E-2</v>
      </c>
      <c r="R64" s="75"/>
      <c r="S64" s="75"/>
      <c r="T64" s="71" t="s">
        <v>96</v>
      </c>
      <c r="U64" s="72">
        <v>0.4893749999999995</v>
      </c>
      <c r="V64" s="76">
        <v>0.57075231481481481</v>
      </c>
      <c r="W64" s="72">
        <f t="shared" ref="W64:W69" si="43">MOD(V64-U64,1)</f>
        <v>8.1377314814815305E-2</v>
      </c>
      <c r="X64" s="75" t="s">
        <v>98</v>
      </c>
      <c r="Y64" s="74">
        <v>0.57638888888888884</v>
      </c>
      <c r="Z64" s="74" t="s">
        <v>44</v>
      </c>
      <c r="AA64" s="75"/>
      <c r="AB64" s="77">
        <f t="shared" ref="AB64:AB69" si="44">G64+O64+W64</f>
        <v>0.24853009259259284</v>
      </c>
      <c r="AC64" s="78">
        <f t="shared" ref="AC64:AC69" si="45">Y64-B64</f>
        <v>0.32638888888888884</v>
      </c>
      <c r="AD64" s="15">
        <f t="shared" si="3"/>
        <v>6.8749999999999756E-2</v>
      </c>
      <c r="AE64" s="20"/>
      <c r="AF64" s="20" t="s">
        <v>99</v>
      </c>
      <c r="AG64" s="26"/>
    </row>
    <row r="65" spans="1:33" s="21" customFormat="1" ht="18" customHeight="1" x14ac:dyDescent="0.25">
      <c r="A65" s="68" t="s">
        <v>100</v>
      </c>
      <c r="B65" s="69">
        <f t="shared" ref="B65:B69" si="46">E65-TIME(0,15,0)</f>
        <v>0.28125</v>
      </c>
      <c r="C65" s="73" t="s">
        <v>95</v>
      </c>
      <c r="D65" s="71" t="s">
        <v>97</v>
      </c>
      <c r="E65" s="72">
        <v>0.29166666666666669</v>
      </c>
      <c r="F65" s="72">
        <v>0.38243055555555538</v>
      </c>
      <c r="G65" s="72">
        <f t="shared" si="40"/>
        <v>9.07638888888887E-2</v>
      </c>
      <c r="H65" s="73"/>
      <c r="I65" s="74">
        <f t="shared" ref="I65:I69" si="47">M65-F65</f>
        <v>3.8194444444444364E-2</v>
      </c>
      <c r="J65" s="75"/>
      <c r="K65" s="75"/>
      <c r="L65" s="71" t="s">
        <v>96</v>
      </c>
      <c r="M65" s="72">
        <v>0.42062499999999975</v>
      </c>
      <c r="N65" s="72">
        <v>0.4893749999999995</v>
      </c>
      <c r="O65" s="72">
        <f t="shared" si="41"/>
        <v>6.8749999999999756E-2</v>
      </c>
      <c r="P65" s="75"/>
      <c r="Q65" s="74">
        <f t="shared" si="42"/>
        <v>5.5902777777778356E-2</v>
      </c>
      <c r="R65" s="75"/>
      <c r="S65" s="75"/>
      <c r="T65" s="71" t="s">
        <v>97</v>
      </c>
      <c r="U65" s="72">
        <v>0.54527777777777786</v>
      </c>
      <c r="V65" s="76">
        <v>0.59535879629629629</v>
      </c>
      <c r="W65" s="72">
        <f t="shared" si="43"/>
        <v>5.0081018518518428E-2</v>
      </c>
      <c r="X65" s="75" t="s">
        <v>101</v>
      </c>
      <c r="Y65" s="74">
        <v>0.60069444444444442</v>
      </c>
      <c r="Z65" s="74" t="s">
        <v>76</v>
      </c>
      <c r="AA65" s="75"/>
      <c r="AB65" s="77">
        <f t="shared" si="44"/>
        <v>0.20959490740740688</v>
      </c>
      <c r="AC65" s="78">
        <f t="shared" si="45"/>
        <v>0.31944444444444442</v>
      </c>
      <c r="AD65" s="15">
        <f t="shared" si="3"/>
        <v>9.4097222222222721E-2</v>
      </c>
      <c r="AE65" s="20"/>
      <c r="AF65" s="20" t="s">
        <v>102</v>
      </c>
      <c r="AG65" s="26"/>
    </row>
    <row r="66" spans="1:33" s="21" customFormat="1" ht="18" customHeight="1" x14ac:dyDescent="0.25">
      <c r="A66" s="68" t="s">
        <v>103</v>
      </c>
      <c r="B66" s="69">
        <v>0.34027777777777779</v>
      </c>
      <c r="C66" s="79" t="s">
        <v>19</v>
      </c>
      <c r="D66" s="71" t="s">
        <v>96</v>
      </c>
      <c r="E66" s="72">
        <v>0.35187499999999994</v>
      </c>
      <c r="F66" s="72">
        <v>0.42062499999999975</v>
      </c>
      <c r="G66" s="72">
        <f t="shared" si="40"/>
        <v>6.8749999999999811E-2</v>
      </c>
      <c r="H66" s="73"/>
      <c r="I66" s="74">
        <f t="shared" si="47"/>
        <v>3.0555555555555447E-2</v>
      </c>
      <c r="J66" s="75"/>
      <c r="K66" s="75"/>
      <c r="L66" s="71" t="s">
        <v>97</v>
      </c>
      <c r="M66" s="72">
        <v>0.4511805555555552</v>
      </c>
      <c r="N66" s="72">
        <v>0.54527777777777786</v>
      </c>
      <c r="O66" s="72">
        <f t="shared" si="41"/>
        <v>9.4097222222222665E-2</v>
      </c>
      <c r="P66" s="75"/>
      <c r="Q66" s="74">
        <f t="shared" si="42"/>
        <v>3.8888888888888085E-2</v>
      </c>
      <c r="R66" s="75"/>
      <c r="S66" s="75"/>
      <c r="T66" s="71" t="s">
        <v>96</v>
      </c>
      <c r="U66" s="72">
        <v>0.58416666666666595</v>
      </c>
      <c r="V66" s="76">
        <v>0.66519675925925925</v>
      </c>
      <c r="W66" s="72">
        <f t="shared" si="43"/>
        <v>8.1030092592593306E-2</v>
      </c>
      <c r="X66" s="75" t="s">
        <v>98</v>
      </c>
      <c r="Y66" s="74">
        <v>0.67013888888888884</v>
      </c>
      <c r="Z66" s="74" t="s">
        <v>44</v>
      </c>
      <c r="AA66" s="75"/>
      <c r="AB66" s="77">
        <f t="shared" si="44"/>
        <v>0.24387731481481578</v>
      </c>
      <c r="AC66" s="78">
        <f t="shared" si="45"/>
        <v>0.32986111111111105</v>
      </c>
      <c r="AD66" s="15">
        <f t="shared" si="3"/>
        <v>6.9444444444443532E-2</v>
      </c>
      <c r="AE66" s="20"/>
      <c r="AF66" s="20" t="s">
        <v>104</v>
      </c>
      <c r="AG66" s="26"/>
    </row>
    <row r="67" spans="1:33" s="21" customFormat="1" ht="18" customHeight="1" x14ac:dyDescent="0.25">
      <c r="A67" s="68" t="s">
        <v>105</v>
      </c>
      <c r="B67" s="69">
        <f t="shared" si="46"/>
        <v>0.55902777777777779</v>
      </c>
      <c r="C67" s="75" t="s">
        <v>98</v>
      </c>
      <c r="D67" s="68" t="s">
        <v>96</v>
      </c>
      <c r="E67" s="80">
        <v>0.56944444444444442</v>
      </c>
      <c r="F67" s="72">
        <v>0.58416666666666595</v>
      </c>
      <c r="G67" s="72">
        <f t="shared" si="40"/>
        <v>1.4722222222221526E-2</v>
      </c>
      <c r="H67" s="75"/>
      <c r="I67" s="74">
        <f t="shared" si="47"/>
        <v>5.5555555555555913E-2</v>
      </c>
      <c r="J67" s="75"/>
      <c r="K67" s="75"/>
      <c r="L67" s="71" t="s">
        <v>97</v>
      </c>
      <c r="M67" s="72">
        <v>0.63972222222222186</v>
      </c>
      <c r="N67" s="72">
        <v>0.73347222222222197</v>
      </c>
      <c r="O67" s="72">
        <f>MOD(N67-M67,1)</f>
        <v>9.3750000000000111E-2</v>
      </c>
      <c r="P67" s="73"/>
      <c r="Q67" s="74">
        <f t="shared" si="42"/>
        <v>3.680555555555487E-2</v>
      </c>
      <c r="R67" s="75"/>
      <c r="S67" s="75"/>
      <c r="T67" s="71" t="s">
        <v>96</v>
      </c>
      <c r="U67" s="72">
        <v>0.77027777777777684</v>
      </c>
      <c r="V67" s="72">
        <v>0.86194444444444318</v>
      </c>
      <c r="W67" s="72">
        <f t="shared" si="43"/>
        <v>9.1666666666666341E-2</v>
      </c>
      <c r="X67" s="75"/>
      <c r="Y67" s="74">
        <v>0.88541666666666663</v>
      </c>
      <c r="Z67" s="74" t="s">
        <v>21</v>
      </c>
      <c r="AA67" s="75"/>
      <c r="AB67" s="77">
        <f t="shared" si="44"/>
        <v>0.20013888888888798</v>
      </c>
      <c r="AC67" s="78">
        <f t="shared" si="45"/>
        <v>0.32638888888888884</v>
      </c>
      <c r="AD67" s="15">
        <f t="shared" si="3"/>
        <v>9.2361111111110783E-2</v>
      </c>
      <c r="AE67" s="20"/>
      <c r="AF67" s="20" t="s">
        <v>106</v>
      </c>
      <c r="AG67" s="26"/>
    </row>
    <row r="68" spans="1:33" s="21" customFormat="1" ht="18" customHeight="1" x14ac:dyDescent="0.25">
      <c r="A68" s="68" t="s">
        <v>107</v>
      </c>
      <c r="B68" s="69">
        <f t="shared" si="46"/>
        <v>0.58333333333333337</v>
      </c>
      <c r="C68" s="75" t="s">
        <v>101</v>
      </c>
      <c r="D68" s="71" t="s">
        <v>97</v>
      </c>
      <c r="E68" s="80">
        <v>0.59375</v>
      </c>
      <c r="F68" s="81">
        <v>0.63958333333333328</v>
      </c>
      <c r="G68" s="72">
        <f t="shared" si="40"/>
        <v>4.5833333333333282E-2</v>
      </c>
      <c r="H68" s="75"/>
      <c r="I68" s="74">
        <f t="shared" si="47"/>
        <v>3.9027777777777661E-2</v>
      </c>
      <c r="J68" s="75"/>
      <c r="K68" s="75"/>
      <c r="L68" s="71" t="s">
        <v>96</v>
      </c>
      <c r="M68" s="72">
        <v>0.67861111111111094</v>
      </c>
      <c r="N68" s="72">
        <v>0.77027777777777684</v>
      </c>
      <c r="O68" s="72">
        <f>MOD(N68-M68,1)</f>
        <v>9.1666666666665897E-2</v>
      </c>
      <c r="P68" s="73"/>
      <c r="Q68" s="74">
        <f t="shared" si="42"/>
        <v>5.3472222222222032E-2</v>
      </c>
      <c r="R68" s="75"/>
      <c r="S68" s="75"/>
      <c r="T68" s="71" t="s">
        <v>97</v>
      </c>
      <c r="U68" s="72">
        <v>0.82374999999999887</v>
      </c>
      <c r="V68" s="72">
        <v>0.85416666666666663</v>
      </c>
      <c r="W68" s="72">
        <f t="shared" si="43"/>
        <v>3.0416666666667758E-2</v>
      </c>
      <c r="X68" s="73" t="s">
        <v>27</v>
      </c>
      <c r="Y68" s="74">
        <v>0.875</v>
      </c>
      <c r="Z68" s="74" t="s">
        <v>28</v>
      </c>
      <c r="AA68" s="75"/>
      <c r="AB68" s="77">
        <f t="shared" si="44"/>
        <v>0.16791666666666694</v>
      </c>
      <c r="AC68" s="78">
        <f t="shared" si="45"/>
        <v>0.29166666666666663</v>
      </c>
      <c r="AD68" s="15">
        <f t="shared" si="3"/>
        <v>9.2499999999999694E-2</v>
      </c>
      <c r="AE68" s="20"/>
      <c r="AF68" s="20" t="s">
        <v>108</v>
      </c>
      <c r="AG68" s="26"/>
    </row>
    <row r="69" spans="1:33" s="21" customFormat="1" ht="18" customHeight="1" x14ac:dyDescent="0.25">
      <c r="A69" s="68" t="s">
        <v>109</v>
      </c>
      <c r="B69" s="69">
        <f t="shared" si="46"/>
        <v>0.65277777777777779</v>
      </c>
      <c r="C69" s="75" t="s">
        <v>98</v>
      </c>
      <c r="D69" s="71" t="s">
        <v>96</v>
      </c>
      <c r="E69" s="80">
        <v>0.66319444444444442</v>
      </c>
      <c r="F69" s="81">
        <v>0.67861111111111116</v>
      </c>
      <c r="G69" s="72">
        <f t="shared" si="40"/>
        <v>1.5416666666666745E-2</v>
      </c>
      <c r="H69" s="75"/>
      <c r="I69" s="74">
        <f t="shared" si="47"/>
        <v>5.4861111111110805E-2</v>
      </c>
      <c r="J69" s="75"/>
      <c r="K69" s="75"/>
      <c r="L69" s="71" t="s">
        <v>97</v>
      </c>
      <c r="M69" s="72">
        <v>0.73347222222222197</v>
      </c>
      <c r="N69" s="72">
        <v>0.82374999999999887</v>
      </c>
      <c r="O69" s="72">
        <f>MOD(N69-M69,1)</f>
        <v>9.0277777777776902E-2</v>
      </c>
      <c r="P69" s="73"/>
      <c r="Q69" s="74">
        <f t="shared" si="42"/>
        <v>3.8194444444444309E-2</v>
      </c>
      <c r="R69" s="75"/>
      <c r="S69" s="75"/>
      <c r="T69" s="71" t="s">
        <v>96</v>
      </c>
      <c r="U69" s="72">
        <v>0.86194444444444318</v>
      </c>
      <c r="V69" s="72">
        <v>0.89236111111111116</v>
      </c>
      <c r="W69" s="72">
        <f t="shared" si="43"/>
        <v>3.041666666666798E-2</v>
      </c>
      <c r="X69" s="73" t="s">
        <v>27</v>
      </c>
      <c r="Y69" s="74">
        <v>0.89583333333333337</v>
      </c>
      <c r="Z69" s="74" t="s">
        <v>28</v>
      </c>
      <c r="AA69" s="75"/>
      <c r="AB69" s="77">
        <f t="shared" si="44"/>
        <v>0.13611111111111163</v>
      </c>
      <c r="AC69" s="78">
        <f t="shared" si="45"/>
        <v>0.24305555555555558</v>
      </c>
      <c r="AD69" s="15">
        <f t="shared" si="3"/>
        <v>9.3055555555555114E-2</v>
      </c>
      <c r="AE69" s="20"/>
      <c r="AF69" s="20" t="s">
        <v>110</v>
      </c>
      <c r="AG69" s="26"/>
    </row>
    <row r="70" spans="1:33" s="21" customFormat="1" ht="18" customHeight="1" x14ac:dyDescent="0.25">
      <c r="A70" s="14"/>
      <c r="B70" s="15"/>
      <c r="C70" s="14"/>
      <c r="D70" s="20"/>
      <c r="E70" s="19"/>
      <c r="F70" s="19"/>
      <c r="G70" s="19"/>
      <c r="H70" s="20"/>
      <c r="I70" s="15"/>
      <c r="J70" s="20"/>
      <c r="K70" s="20"/>
      <c r="L70" s="20"/>
      <c r="M70" s="19"/>
      <c r="N70" s="19"/>
      <c r="O70" s="19"/>
      <c r="P70" s="20"/>
      <c r="Q70" s="15"/>
      <c r="R70" s="20"/>
      <c r="S70" s="23"/>
      <c r="T70" s="20"/>
      <c r="U70" s="19"/>
      <c r="V70" s="19"/>
      <c r="W70" s="19"/>
      <c r="X70" s="20"/>
      <c r="Y70" s="15"/>
      <c r="Z70" s="20"/>
      <c r="AA70" s="20"/>
      <c r="AB70" s="15"/>
      <c r="AC70" s="25"/>
      <c r="AD70" s="15"/>
      <c r="AE70" s="19"/>
      <c r="AF70" s="20"/>
      <c r="AG70" s="26"/>
    </row>
    <row r="71" spans="1:33" s="21" customFormat="1" ht="18" customHeight="1" x14ac:dyDescent="0.25">
      <c r="A71" s="14">
        <v>60</v>
      </c>
      <c r="B71" s="15">
        <v>0.88541666666666663</v>
      </c>
      <c r="C71" s="14" t="s">
        <v>84</v>
      </c>
      <c r="D71" s="20">
        <v>208</v>
      </c>
      <c r="E71" s="33">
        <v>0.89722222222222225</v>
      </c>
      <c r="F71" s="19">
        <v>1.0416666666666666E-2</v>
      </c>
      <c r="G71" s="19">
        <f>MOD(F71-E71,1)</f>
        <v>0.11319444444444438</v>
      </c>
      <c r="H71" s="82" t="s">
        <v>111</v>
      </c>
      <c r="I71" s="15">
        <f>MOD(U71-F71,1)</f>
        <v>0.18402777777777779</v>
      </c>
      <c r="J71" s="20"/>
      <c r="K71" s="20">
        <v>74</v>
      </c>
      <c r="L71" s="20"/>
      <c r="M71" s="19"/>
      <c r="N71" s="19"/>
      <c r="O71" s="19"/>
      <c r="P71" s="20"/>
      <c r="Q71" s="14">
        <v>41</v>
      </c>
      <c r="R71" s="20"/>
      <c r="S71" s="83" t="s">
        <v>111</v>
      </c>
      <c r="T71" s="20">
        <v>210</v>
      </c>
      <c r="U71" s="19">
        <v>0.19444444444444445</v>
      </c>
      <c r="V71" s="33">
        <v>0.28402777777777777</v>
      </c>
      <c r="W71" s="19">
        <f>MOD(V71-U71,1)</f>
        <v>8.958333333333332E-2</v>
      </c>
      <c r="X71" s="20" t="s">
        <v>35</v>
      </c>
      <c r="Y71" s="15">
        <v>0.28819444444444448</v>
      </c>
      <c r="Z71" s="20" t="s">
        <v>21</v>
      </c>
      <c r="AA71" s="20">
        <f>K71+Q71</f>
        <v>115</v>
      </c>
      <c r="AB71" s="15">
        <f>G71+O71+W71</f>
        <v>0.2027777777777777</v>
      </c>
      <c r="AC71" s="25">
        <f>MOD(Y71-B71,1)</f>
        <v>0.4027777777777779</v>
      </c>
      <c r="AD71" s="15">
        <f t="shared" si="3"/>
        <v>41.184027777777779</v>
      </c>
      <c r="AE71" s="19"/>
      <c r="AF71" s="20" t="s">
        <v>112</v>
      </c>
      <c r="AG71" s="26"/>
    </row>
    <row r="72" spans="1:33" s="21" customFormat="1" ht="18" customHeight="1" x14ac:dyDescent="0.25">
      <c r="A72" s="14">
        <v>61</v>
      </c>
      <c r="B72" s="15">
        <v>0.89236111111111116</v>
      </c>
      <c r="C72" s="14" t="s">
        <v>59</v>
      </c>
      <c r="D72" s="20">
        <v>218</v>
      </c>
      <c r="E72" s="19">
        <v>0.90416666666666667</v>
      </c>
      <c r="F72" s="31">
        <v>0.99305555555555547</v>
      </c>
      <c r="G72" s="19">
        <f>MOD(F72-E72,1)</f>
        <v>8.8888888888888795E-2</v>
      </c>
      <c r="H72" s="82" t="s">
        <v>47</v>
      </c>
      <c r="I72" s="15">
        <f>MOD(U72-F72,1)</f>
        <v>0.1840277777777779</v>
      </c>
      <c r="J72" s="20"/>
      <c r="K72" s="20">
        <v>58</v>
      </c>
      <c r="L72" s="20"/>
      <c r="M72" s="19"/>
      <c r="N72" s="19"/>
      <c r="O72" s="19"/>
      <c r="P72" s="84" t="s">
        <v>113</v>
      </c>
      <c r="Q72" s="20">
        <v>34</v>
      </c>
      <c r="R72" s="20"/>
      <c r="S72" s="83" t="s">
        <v>47</v>
      </c>
      <c r="T72" s="20">
        <v>208</v>
      </c>
      <c r="U72" s="19">
        <v>0.17708333333333334</v>
      </c>
      <c r="V72" s="33">
        <v>0.26874999999999999</v>
      </c>
      <c r="W72" s="19">
        <f>MOD(V72-U72,1)</f>
        <v>9.1666666666666646E-2</v>
      </c>
      <c r="X72" s="20" t="s">
        <v>35</v>
      </c>
      <c r="Y72" s="15">
        <v>0.27083333333333331</v>
      </c>
      <c r="Z72" s="20" t="s">
        <v>21</v>
      </c>
      <c r="AA72" s="20">
        <f t="shared" ref="AA72:AA85" si="48">K72+Q72</f>
        <v>92</v>
      </c>
      <c r="AB72" s="15">
        <f>G72+O72+W72</f>
        <v>0.18055555555555544</v>
      </c>
      <c r="AC72" s="25">
        <f>MOD(Y72-B72,1)</f>
        <v>0.3784722222222221</v>
      </c>
      <c r="AD72" s="15">
        <f t="shared" ref="AD72:AD85" si="49">I72+Q72</f>
        <v>34.184027777777779</v>
      </c>
      <c r="AE72" s="19"/>
      <c r="AF72" s="20" t="s">
        <v>114</v>
      </c>
      <c r="AG72" s="26"/>
    </row>
    <row r="73" spans="1:33" s="21" customFormat="1" ht="18" customHeight="1" x14ac:dyDescent="0.25">
      <c r="A73" s="14">
        <v>62</v>
      </c>
      <c r="B73" s="15">
        <v>0.89583333333333337</v>
      </c>
      <c r="C73" s="14" t="s">
        <v>21</v>
      </c>
      <c r="D73" s="20">
        <v>209</v>
      </c>
      <c r="E73" s="19">
        <v>0.90638888888888747</v>
      </c>
      <c r="F73" s="19">
        <v>0.98958333333333337</v>
      </c>
      <c r="G73" s="19">
        <f>MOD(F73-E73,1)</f>
        <v>8.3194444444445903E-2</v>
      </c>
      <c r="H73" s="82" t="s">
        <v>115</v>
      </c>
      <c r="I73" s="15">
        <f>MOD(U73-F73,1)</f>
        <v>0.19097222222222221</v>
      </c>
      <c r="J73" s="20"/>
      <c r="K73" s="20">
        <v>54</v>
      </c>
      <c r="L73" s="20"/>
      <c r="M73" s="19"/>
      <c r="N73" s="19"/>
      <c r="O73" s="19"/>
      <c r="P73" s="84" t="s">
        <v>116</v>
      </c>
      <c r="Q73" s="20">
        <v>38</v>
      </c>
      <c r="R73" s="20"/>
      <c r="S73" s="83" t="s">
        <v>117</v>
      </c>
      <c r="T73" s="20">
        <v>207</v>
      </c>
      <c r="U73" s="19">
        <v>0.18055555555555555</v>
      </c>
      <c r="V73" s="33">
        <v>0.27083333333333331</v>
      </c>
      <c r="W73" s="19">
        <f>MOD(V73-U73,1)</f>
        <v>9.0277777777777762E-2</v>
      </c>
      <c r="X73" s="20" t="s">
        <v>26</v>
      </c>
      <c r="Y73" s="15">
        <v>0.27430555555555552</v>
      </c>
      <c r="Z73" s="14" t="s">
        <v>44</v>
      </c>
      <c r="AA73" s="20">
        <f t="shared" si="48"/>
        <v>92</v>
      </c>
      <c r="AB73" s="15">
        <f>G73+O73+W73</f>
        <v>0.17347222222222367</v>
      </c>
      <c r="AC73" s="25">
        <f>MOD(Y73-B73,1)</f>
        <v>0.3784722222222221</v>
      </c>
      <c r="AD73" s="15">
        <f t="shared" si="49"/>
        <v>38.190972222222221</v>
      </c>
      <c r="AE73" s="19"/>
      <c r="AF73" s="20" t="s">
        <v>118</v>
      </c>
      <c r="AG73" s="26"/>
    </row>
    <row r="74" spans="1:33" s="21" customFormat="1" ht="18" customHeight="1" x14ac:dyDescent="0.25">
      <c r="A74" s="14">
        <v>63</v>
      </c>
      <c r="B74" s="15">
        <v>0.88541666666666663</v>
      </c>
      <c r="C74" s="14" t="s">
        <v>47</v>
      </c>
      <c r="D74" s="20">
        <v>220</v>
      </c>
      <c r="E74" s="19">
        <v>0.89583333333333337</v>
      </c>
      <c r="F74" s="19">
        <v>6.9444444444444441E-3</v>
      </c>
      <c r="G74" s="19">
        <f>MOD(F74-E74,1)</f>
        <v>0.11111111111111105</v>
      </c>
      <c r="H74" s="82" t="s">
        <v>84</v>
      </c>
      <c r="I74" s="15">
        <f>MOD(U74-F74,1)</f>
        <v>0.2013888888888889</v>
      </c>
      <c r="J74" s="20"/>
      <c r="K74" s="20">
        <v>69</v>
      </c>
      <c r="L74" s="85"/>
      <c r="M74" s="19"/>
      <c r="N74" s="19"/>
      <c r="O74" s="19"/>
      <c r="P74" s="20"/>
      <c r="Q74" s="14">
        <v>35</v>
      </c>
      <c r="R74" s="20"/>
      <c r="S74" s="83" t="s">
        <v>84</v>
      </c>
      <c r="T74" s="20">
        <v>211</v>
      </c>
      <c r="U74" s="33">
        <v>0.20833333333333334</v>
      </c>
      <c r="V74" s="19">
        <v>0.26263888888888881</v>
      </c>
      <c r="W74" s="19">
        <f>MOD(V74-U74,1)</f>
        <v>5.4305555555555468E-2</v>
      </c>
      <c r="X74" s="20"/>
      <c r="Y74" s="15">
        <v>0.2673611111111111</v>
      </c>
      <c r="Z74" s="20" t="s">
        <v>21</v>
      </c>
      <c r="AA74" s="20">
        <f t="shared" si="48"/>
        <v>104</v>
      </c>
      <c r="AB74" s="15">
        <f>G74+O74+W74</f>
        <v>0.16541666666666652</v>
      </c>
      <c r="AC74" s="25">
        <f>MOD(Y74-B74,1)</f>
        <v>0.38194444444444442</v>
      </c>
      <c r="AD74" s="15">
        <f t="shared" si="49"/>
        <v>35.201388888888886</v>
      </c>
      <c r="AE74" s="19"/>
      <c r="AF74" s="20" t="s">
        <v>119</v>
      </c>
      <c r="AG74" s="26"/>
    </row>
    <row r="75" spans="1:33" s="21" customFormat="1" ht="18" customHeight="1" x14ac:dyDescent="0.25">
      <c r="A75" s="14">
        <v>64</v>
      </c>
      <c r="B75" s="15">
        <v>0.89930555555555547</v>
      </c>
      <c r="C75" s="14" t="s">
        <v>47</v>
      </c>
      <c r="D75" s="20">
        <v>203</v>
      </c>
      <c r="E75" s="19">
        <v>0.90972222222222221</v>
      </c>
      <c r="F75" s="19">
        <v>1.0416666666666666E-2</v>
      </c>
      <c r="G75" s="19">
        <f>MOD(F75-E75,1)</f>
        <v>0.10069444444444442</v>
      </c>
      <c r="H75" s="82" t="s">
        <v>120</v>
      </c>
      <c r="I75" s="15">
        <f>MOD(U75-F75,1)</f>
        <v>0.17708333333333334</v>
      </c>
      <c r="J75" s="20"/>
      <c r="K75" s="20">
        <v>62</v>
      </c>
      <c r="L75" s="20"/>
      <c r="M75" s="19"/>
      <c r="N75" s="19"/>
      <c r="O75" s="19"/>
      <c r="P75" s="84" t="s">
        <v>121</v>
      </c>
      <c r="Q75" s="20">
        <v>40</v>
      </c>
      <c r="R75" s="20"/>
      <c r="S75" s="83" t="s">
        <v>120</v>
      </c>
      <c r="T75" s="20">
        <v>209</v>
      </c>
      <c r="U75" s="19">
        <v>0.1875</v>
      </c>
      <c r="V75" s="33">
        <v>0.27638888888888885</v>
      </c>
      <c r="W75" s="19">
        <f>MOD(V75-U75,1)</f>
        <v>8.8888888888888851E-2</v>
      </c>
      <c r="X75" s="20" t="s">
        <v>35</v>
      </c>
      <c r="Y75" s="15">
        <v>0.28125</v>
      </c>
      <c r="Z75" s="20" t="s">
        <v>21</v>
      </c>
      <c r="AA75" s="20">
        <f t="shared" si="48"/>
        <v>102</v>
      </c>
      <c r="AB75" s="15">
        <f>G75+O75+W75</f>
        <v>0.18958333333333327</v>
      </c>
      <c r="AC75" s="25">
        <f>MOD(Y75-B75,1)</f>
        <v>0.38194444444444453</v>
      </c>
      <c r="AD75" s="15">
        <f t="shared" si="49"/>
        <v>40.177083333333336</v>
      </c>
      <c r="AE75" s="19"/>
      <c r="AF75" s="20" t="s">
        <v>122</v>
      </c>
      <c r="AG75" s="26"/>
    </row>
    <row r="76" spans="1:33" s="21" customFormat="1" ht="18" customHeight="1" x14ac:dyDescent="0.25">
      <c r="A76" s="14"/>
      <c r="B76" s="15"/>
      <c r="C76" s="14"/>
      <c r="D76" s="23"/>
      <c r="E76" s="23"/>
      <c r="F76" s="23"/>
      <c r="G76" s="23"/>
      <c r="H76" s="82"/>
      <c r="I76" s="15"/>
      <c r="J76" s="20"/>
      <c r="K76" s="20"/>
      <c r="L76" s="85"/>
      <c r="M76" s="19"/>
      <c r="N76" s="19"/>
      <c r="O76" s="19"/>
      <c r="P76" s="30"/>
      <c r="Q76" s="14"/>
      <c r="R76" s="20"/>
      <c r="S76" s="83"/>
      <c r="T76" s="23"/>
      <c r="U76" s="23"/>
      <c r="V76" s="23"/>
      <c r="W76" s="23"/>
      <c r="X76" s="20"/>
      <c r="Y76" s="15"/>
      <c r="Z76" s="14"/>
      <c r="AA76" s="20"/>
      <c r="AB76" s="15"/>
      <c r="AC76" s="25"/>
      <c r="AD76" s="15"/>
      <c r="AE76" s="19"/>
      <c r="AF76" s="20"/>
      <c r="AG76" s="26"/>
    </row>
    <row r="77" spans="1:33" s="21" customFormat="1" ht="18" customHeight="1" x14ac:dyDescent="0.25">
      <c r="A77" s="14">
        <v>65</v>
      </c>
      <c r="B77" s="15">
        <v>0.87847222222222221</v>
      </c>
      <c r="C77" s="14" t="s">
        <v>26</v>
      </c>
      <c r="D77" s="20">
        <v>221</v>
      </c>
      <c r="E77" s="33">
        <v>0.89027777777777783</v>
      </c>
      <c r="F77" s="19">
        <v>0.96875</v>
      </c>
      <c r="G77" s="19">
        <f t="shared" ref="G77:G85" si="50">MOD(F77-E77,1)</f>
        <v>7.8472222222222165E-2</v>
      </c>
      <c r="H77" s="82" t="s">
        <v>123</v>
      </c>
      <c r="I77" s="15">
        <f>MOD(U77-F77,1)</f>
        <v>0.30208333333333326</v>
      </c>
      <c r="J77" s="20"/>
      <c r="K77" s="20">
        <v>51</v>
      </c>
      <c r="L77" s="85"/>
      <c r="M77" s="19"/>
      <c r="N77" s="19"/>
      <c r="O77" s="19"/>
      <c r="P77" s="30"/>
      <c r="Q77" s="14">
        <v>7</v>
      </c>
      <c r="R77" s="20"/>
      <c r="S77" s="83" t="s">
        <v>124</v>
      </c>
      <c r="T77" s="20">
        <v>212</v>
      </c>
      <c r="U77" s="19">
        <v>0.27083333333333331</v>
      </c>
      <c r="V77" s="33">
        <v>0.32222222222222224</v>
      </c>
      <c r="W77" s="19">
        <f>MOD(V77-U77,1)</f>
        <v>5.1388888888888928E-2</v>
      </c>
      <c r="X77" s="20" t="s">
        <v>35</v>
      </c>
      <c r="Y77" s="15">
        <v>0.3125</v>
      </c>
      <c r="Z77" s="20" t="s">
        <v>21</v>
      </c>
      <c r="AA77" s="20">
        <f t="shared" si="48"/>
        <v>58</v>
      </c>
      <c r="AB77" s="15">
        <f t="shared" ref="AB77:AB85" si="51">G77+O77+W77</f>
        <v>0.12986111111111109</v>
      </c>
      <c r="AC77" s="25">
        <f t="shared" ref="AC77:AC85" si="52">MOD(Y77-B77,1)</f>
        <v>0.43402777777777779</v>
      </c>
      <c r="AD77" s="15">
        <f t="shared" si="49"/>
        <v>7.302083333333333</v>
      </c>
      <c r="AE77" s="19"/>
      <c r="AF77" s="20" t="s">
        <v>125</v>
      </c>
      <c r="AG77" s="26"/>
    </row>
    <row r="78" spans="1:33" s="21" customFormat="1" ht="18" customHeight="1" x14ac:dyDescent="0.25">
      <c r="A78" s="14">
        <v>66</v>
      </c>
      <c r="B78" s="15">
        <v>0.88541666666666663</v>
      </c>
      <c r="C78" s="14" t="s">
        <v>26</v>
      </c>
      <c r="D78" s="20">
        <v>210</v>
      </c>
      <c r="E78" s="33">
        <v>0.89722222222222225</v>
      </c>
      <c r="F78" s="19">
        <v>0</v>
      </c>
      <c r="G78" s="19">
        <f t="shared" si="50"/>
        <v>0.10277777777777775</v>
      </c>
      <c r="H78" s="82" t="s">
        <v>126</v>
      </c>
      <c r="I78" s="15"/>
      <c r="J78" s="20"/>
      <c r="K78" s="20">
        <v>59</v>
      </c>
      <c r="L78" s="20"/>
      <c r="M78" s="19"/>
      <c r="N78" s="19"/>
      <c r="O78" s="19"/>
      <c r="P78" s="20"/>
      <c r="Q78" s="14"/>
      <c r="R78" s="20"/>
      <c r="S78" s="83" t="s">
        <v>127</v>
      </c>
      <c r="T78" s="23" t="s">
        <v>128</v>
      </c>
      <c r="U78" s="59"/>
      <c r="V78" s="23"/>
      <c r="W78" s="23"/>
      <c r="X78" s="20"/>
      <c r="Y78" s="15">
        <v>0.27083333333333331</v>
      </c>
      <c r="Z78" s="37" t="s">
        <v>28</v>
      </c>
      <c r="AA78" s="20">
        <f t="shared" si="48"/>
        <v>59</v>
      </c>
      <c r="AB78" s="15">
        <f t="shared" si="51"/>
        <v>0.10277777777777775</v>
      </c>
      <c r="AC78" s="25">
        <f t="shared" si="52"/>
        <v>0.38541666666666674</v>
      </c>
      <c r="AD78" s="15"/>
      <c r="AE78" s="19"/>
      <c r="AF78" s="20" t="s">
        <v>129</v>
      </c>
      <c r="AG78" s="26"/>
    </row>
    <row r="79" spans="1:33" s="21" customFormat="1" ht="18" customHeight="1" x14ac:dyDescent="0.25">
      <c r="A79" s="14">
        <v>67</v>
      </c>
      <c r="B79" s="15">
        <v>0.88541666666666663</v>
      </c>
      <c r="C79" s="14" t="s">
        <v>59</v>
      </c>
      <c r="D79" s="20">
        <v>211</v>
      </c>
      <c r="E79" s="19">
        <v>0.89861111111111114</v>
      </c>
      <c r="F79" s="19">
        <v>0.9375</v>
      </c>
      <c r="G79" s="19">
        <f t="shared" si="50"/>
        <v>3.8888888888888862E-2</v>
      </c>
      <c r="H79" s="82" t="s">
        <v>130</v>
      </c>
      <c r="I79" s="15"/>
      <c r="J79" s="20"/>
      <c r="K79" s="20">
        <v>15</v>
      </c>
      <c r="L79" s="20"/>
      <c r="M79" s="19"/>
      <c r="N79" s="19"/>
      <c r="O79" s="19"/>
      <c r="P79" s="20"/>
      <c r="Q79" s="14"/>
      <c r="R79" s="20"/>
      <c r="S79" s="83" t="s">
        <v>127</v>
      </c>
      <c r="T79" s="23"/>
      <c r="U79" s="23"/>
      <c r="V79" s="23"/>
      <c r="W79" s="23"/>
      <c r="X79" s="20"/>
      <c r="Y79" s="15">
        <v>0.27083333333333331</v>
      </c>
      <c r="Z79" s="37" t="s">
        <v>28</v>
      </c>
      <c r="AA79" s="20">
        <f t="shared" si="48"/>
        <v>15</v>
      </c>
      <c r="AB79" s="15">
        <f t="shared" si="51"/>
        <v>3.8888888888888862E-2</v>
      </c>
      <c r="AC79" s="25">
        <f t="shared" si="52"/>
        <v>0.38541666666666674</v>
      </c>
      <c r="AD79" s="15"/>
      <c r="AE79" s="19"/>
      <c r="AF79" s="20" t="s">
        <v>131</v>
      </c>
      <c r="AG79" s="26"/>
    </row>
    <row r="80" spans="1:33" s="21" customFormat="1" ht="18" customHeight="1" x14ac:dyDescent="0.25">
      <c r="A80" s="14">
        <v>68</v>
      </c>
      <c r="B80" s="15">
        <v>0.88888888888888884</v>
      </c>
      <c r="C80" s="14" t="s">
        <v>35</v>
      </c>
      <c r="D80" s="20">
        <v>216</v>
      </c>
      <c r="E80" s="33">
        <v>0.89861111111111114</v>
      </c>
      <c r="F80" s="19">
        <v>0.99652777777777779</v>
      </c>
      <c r="G80" s="19">
        <f t="shared" si="50"/>
        <v>9.7916666666666652E-2</v>
      </c>
      <c r="H80" s="82" t="s">
        <v>132</v>
      </c>
      <c r="I80" s="15">
        <f t="shared" ref="I80:I85" si="53">MOD(U80-F80,1)</f>
        <v>0.17013888888888884</v>
      </c>
      <c r="J80" s="20"/>
      <c r="K80" s="20">
        <v>65</v>
      </c>
      <c r="L80" s="85"/>
      <c r="M80" s="19"/>
      <c r="N80" s="19"/>
      <c r="O80" s="19"/>
      <c r="P80" s="84" t="s">
        <v>133</v>
      </c>
      <c r="Q80" s="14">
        <v>59</v>
      </c>
      <c r="R80" s="20"/>
      <c r="S80" s="84" t="s">
        <v>134</v>
      </c>
      <c r="T80" s="20">
        <v>202</v>
      </c>
      <c r="U80" s="19">
        <v>0.16666666666666666</v>
      </c>
      <c r="V80" s="19">
        <v>0.28347222222222229</v>
      </c>
      <c r="W80" s="19">
        <f t="shared" ref="W80:W85" si="54">MOD(V80-U80,1)</f>
        <v>0.11680555555555563</v>
      </c>
      <c r="X80" s="20"/>
      <c r="Y80" s="15">
        <v>0.28472222222222221</v>
      </c>
      <c r="Z80" s="20" t="s">
        <v>21</v>
      </c>
      <c r="AA80" s="20">
        <f t="shared" si="48"/>
        <v>124</v>
      </c>
      <c r="AB80" s="15">
        <f t="shared" si="51"/>
        <v>0.21472222222222229</v>
      </c>
      <c r="AC80" s="25">
        <f t="shared" si="52"/>
        <v>0.39583333333333337</v>
      </c>
      <c r="AD80" s="15">
        <f t="shared" si="49"/>
        <v>59.170138888888886</v>
      </c>
      <c r="AE80" s="19"/>
      <c r="AF80" s="20" t="s">
        <v>135</v>
      </c>
      <c r="AG80" s="26"/>
    </row>
    <row r="81" spans="1:33" s="21" customFormat="1" ht="18" customHeight="1" x14ac:dyDescent="0.25">
      <c r="A81" s="14">
        <v>69</v>
      </c>
      <c r="B81" s="15">
        <v>0.88888888888888884</v>
      </c>
      <c r="C81" s="14" t="s">
        <v>136</v>
      </c>
      <c r="D81" s="20">
        <v>217</v>
      </c>
      <c r="E81" s="19">
        <v>0.89944444444444305</v>
      </c>
      <c r="F81" s="19">
        <v>1.0416666666666666E-2</v>
      </c>
      <c r="G81" s="19">
        <f t="shared" si="50"/>
        <v>0.11097222222222358</v>
      </c>
      <c r="H81" s="82" t="s">
        <v>137</v>
      </c>
      <c r="I81" s="15">
        <f t="shared" si="53"/>
        <v>0.18402777777777779</v>
      </c>
      <c r="J81" s="20"/>
      <c r="K81" s="20">
        <v>74</v>
      </c>
      <c r="L81" s="85"/>
      <c r="M81" s="19"/>
      <c r="N81" s="19"/>
      <c r="O81" s="19"/>
      <c r="P81" s="20"/>
      <c r="Q81" s="14">
        <v>62</v>
      </c>
      <c r="R81" s="20"/>
      <c r="S81" s="84" t="s">
        <v>137</v>
      </c>
      <c r="T81" s="20">
        <v>204</v>
      </c>
      <c r="U81" s="19">
        <v>0.19444444444444445</v>
      </c>
      <c r="V81" s="19">
        <v>0.30430555555555561</v>
      </c>
      <c r="W81" s="19">
        <f t="shared" si="54"/>
        <v>0.10986111111111116</v>
      </c>
      <c r="X81" s="20"/>
      <c r="Y81" s="15">
        <v>0.30555555555555552</v>
      </c>
      <c r="Z81" s="20" t="s">
        <v>21</v>
      </c>
      <c r="AA81" s="20">
        <f t="shared" si="48"/>
        <v>136</v>
      </c>
      <c r="AB81" s="15">
        <f t="shared" si="51"/>
        <v>0.22083333333333474</v>
      </c>
      <c r="AC81" s="25">
        <f t="shared" si="52"/>
        <v>0.41666666666666674</v>
      </c>
      <c r="AD81" s="15">
        <f t="shared" si="49"/>
        <v>62.184027777777779</v>
      </c>
      <c r="AE81" s="15"/>
      <c r="AF81" s="20" t="s">
        <v>138</v>
      </c>
      <c r="AG81" s="26"/>
    </row>
    <row r="82" spans="1:33" s="21" customFormat="1" ht="18" customHeight="1" x14ac:dyDescent="0.25">
      <c r="A82" s="14">
        <v>70</v>
      </c>
      <c r="B82" s="15">
        <v>0.89236111111111116</v>
      </c>
      <c r="C82" s="14" t="s">
        <v>47</v>
      </c>
      <c r="D82" s="20">
        <v>201</v>
      </c>
      <c r="E82" s="19">
        <v>0.90277777777777779</v>
      </c>
      <c r="F82" s="19">
        <v>0.97916666666666663</v>
      </c>
      <c r="G82" s="19">
        <f t="shared" si="50"/>
        <v>7.638888888888884E-2</v>
      </c>
      <c r="H82" s="82" t="s">
        <v>126</v>
      </c>
      <c r="I82" s="15">
        <f t="shared" si="53"/>
        <v>0.20833333333333337</v>
      </c>
      <c r="J82" s="20"/>
      <c r="K82" s="20">
        <v>36</v>
      </c>
      <c r="L82" s="85"/>
      <c r="M82" s="19"/>
      <c r="N82" s="19"/>
      <c r="O82" s="19"/>
      <c r="P82" s="20"/>
      <c r="Q82" s="14">
        <v>26</v>
      </c>
      <c r="R82" s="20"/>
      <c r="S82" s="83" t="s">
        <v>139</v>
      </c>
      <c r="T82" s="20">
        <v>206</v>
      </c>
      <c r="U82" s="19">
        <v>0.1875</v>
      </c>
      <c r="V82" s="33">
        <v>0.26041666666666669</v>
      </c>
      <c r="W82" s="19">
        <f t="shared" si="54"/>
        <v>7.2916666666666685E-2</v>
      </c>
      <c r="X82" s="20" t="s">
        <v>26</v>
      </c>
      <c r="Y82" s="15">
        <v>0.2638888888888889</v>
      </c>
      <c r="Z82" s="14" t="s">
        <v>44</v>
      </c>
      <c r="AA82" s="20">
        <f t="shared" si="48"/>
        <v>62</v>
      </c>
      <c r="AB82" s="15">
        <f t="shared" si="51"/>
        <v>0.14930555555555552</v>
      </c>
      <c r="AC82" s="25">
        <f t="shared" si="52"/>
        <v>0.37152777777777768</v>
      </c>
      <c r="AD82" s="15">
        <f t="shared" si="49"/>
        <v>26.208333333333332</v>
      </c>
      <c r="AE82" s="19"/>
      <c r="AF82" s="20" t="s">
        <v>140</v>
      </c>
      <c r="AG82" s="26"/>
    </row>
    <row r="83" spans="1:33" s="21" customFormat="1" ht="18" customHeight="1" x14ac:dyDescent="0.25">
      <c r="A83" s="14">
        <v>71</v>
      </c>
      <c r="B83" s="15">
        <v>0.89236111111111116</v>
      </c>
      <c r="C83" s="14" t="s">
        <v>26</v>
      </c>
      <c r="D83" s="20">
        <v>202</v>
      </c>
      <c r="E83" s="33">
        <v>0.90416666666666667</v>
      </c>
      <c r="F83" s="19">
        <v>0</v>
      </c>
      <c r="G83" s="19">
        <f t="shared" si="50"/>
        <v>9.5833333333333326E-2</v>
      </c>
      <c r="H83" s="82" t="s">
        <v>141</v>
      </c>
      <c r="I83" s="15">
        <f t="shared" si="53"/>
        <v>0.18402777777777779</v>
      </c>
      <c r="J83" s="20"/>
      <c r="K83" s="20">
        <v>68</v>
      </c>
      <c r="L83" s="20"/>
      <c r="M83" s="19"/>
      <c r="N83" s="19"/>
      <c r="O83" s="19"/>
      <c r="P83" s="84" t="s">
        <v>116</v>
      </c>
      <c r="Q83" s="14">
        <v>45</v>
      </c>
      <c r="R83" s="20"/>
      <c r="S83" s="84" t="s">
        <v>141</v>
      </c>
      <c r="T83" s="20">
        <v>201</v>
      </c>
      <c r="U83" s="19">
        <v>0.18402777777777779</v>
      </c>
      <c r="V83" s="19">
        <v>0.27305555555555555</v>
      </c>
      <c r="W83" s="19">
        <f t="shared" si="54"/>
        <v>8.9027777777777761E-2</v>
      </c>
      <c r="X83" s="20"/>
      <c r="Y83" s="15">
        <v>0.27777777777777779</v>
      </c>
      <c r="Z83" s="20" t="s">
        <v>21</v>
      </c>
      <c r="AA83" s="20">
        <f t="shared" si="48"/>
        <v>113</v>
      </c>
      <c r="AB83" s="15">
        <f t="shared" si="51"/>
        <v>0.18486111111111109</v>
      </c>
      <c r="AC83" s="25">
        <f t="shared" si="52"/>
        <v>0.38541666666666663</v>
      </c>
      <c r="AD83" s="15">
        <f t="shared" si="49"/>
        <v>45.184027777777779</v>
      </c>
      <c r="AE83" s="19"/>
      <c r="AF83" s="20" t="s">
        <v>142</v>
      </c>
      <c r="AG83" s="26"/>
    </row>
    <row r="84" spans="1:33" s="21" customFormat="1" ht="18" customHeight="1" x14ac:dyDescent="0.25">
      <c r="A84" s="14">
        <v>72</v>
      </c>
      <c r="B84" s="15">
        <v>0.89583333333333337</v>
      </c>
      <c r="C84" s="14" t="s">
        <v>35</v>
      </c>
      <c r="D84" s="20">
        <v>206</v>
      </c>
      <c r="E84" s="19">
        <v>0.90555555555555556</v>
      </c>
      <c r="F84" s="19">
        <v>1.3888888888888888E-2</v>
      </c>
      <c r="G84" s="19">
        <f t="shared" si="50"/>
        <v>0.10833333333333328</v>
      </c>
      <c r="H84" s="82" t="s">
        <v>143</v>
      </c>
      <c r="I84" s="15">
        <f t="shared" si="53"/>
        <v>0.18402777777777776</v>
      </c>
      <c r="J84" s="20"/>
      <c r="K84" s="20">
        <v>60</v>
      </c>
      <c r="L84" s="20"/>
      <c r="M84" s="19"/>
      <c r="N84" s="19"/>
      <c r="O84" s="19"/>
      <c r="P84" s="20"/>
      <c r="Q84" s="14">
        <v>45</v>
      </c>
      <c r="R84" s="20"/>
      <c r="S84" s="83" t="s">
        <v>144</v>
      </c>
      <c r="T84" s="20">
        <v>205</v>
      </c>
      <c r="U84" s="19">
        <v>0.19791666666666666</v>
      </c>
      <c r="V84" s="19">
        <v>0.28819444444444448</v>
      </c>
      <c r="W84" s="19">
        <f t="shared" si="54"/>
        <v>9.0277777777777818E-2</v>
      </c>
      <c r="X84" s="20" t="s">
        <v>47</v>
      </c>
      <c r="Y84" s="15">
        <v>0.29166666666666669</v>
      </c>
      <c r="Z84" s="14" t="s">
        <v>76</v>
      </c>
      <c r="AA84" s="20">
        <f t="shared" si="48"/>
        <v>105</v>
      </c>
      <c r="AB84" s="15">
        <f t="shared" si="51"/>
        <v>0.1986111111111111</v>
      </c>
      <c r="AC84" s="25">
        <f t="shared" si="52"/>
        <v>0.39583333333333326</v>
      </c>
      <c r="AD84" s="15">
        <f t="shared" si="49"/>
        <v>45.184027777777779</v>
      </c>
      <c r="AE84" s="19"/>
      <c r="AF84" s="20" t="s">
        <v>145</v>
      </c>
      <c r="AG84" s="26"/>
    </row>
    <row r="85" spans="1:33" s="21" customFormat="1" ht="18" customHeight="1" x14ac:dyDescent="0.25">
      <c r="A85" s="14">
        <v>73</v>
      </c>
      <c r="B85" s="15">
        <v>0.89930555555555547</v>
      </c>
      <c r="C85" s="14" t="s">
        <v>35</v>
      </c>
      <c r="D85" s="20">
        <v>207</v>
      </c>
      <c r="E85" s="33">
        <v>0.91249999999999998</v>
      </c>
      <c r="F85" s="19">
        <v>1.0416666666666666E-2</v>
      </c>
      <c r="G85" s="19">
        <f t="shared" si="50"/>
        <v>9.7916666666666652E-2</v>
      </c>
      <c r="H85" s="82" t="s">
        <v>146</v>
      </c>
      <c r="I85" s="15">
        <f t="shared" si="53"/>
        <v>0.17708333333333334</v>
      </c>
      <c r="J85" s="20"/>
      <c r="K85" s="20">
        <v>62</v>
      </c>
      <c r="L85" s="85"/>
      <c r="M85" s="19"/>
      <c r="N85" s="19"/>
      <c r="O85" s="19"/>
      <c r="P85" s="84" t="s">
        <v>147</v>
      </c>
      <c r="Q85" s="14">
        <v>62</v>
      </c>
      <c r="R85" s="20"/>
      <c r="S85" s="84" t="s">
        <v>146</v>
      </c>
      <c r="T85" s="20">
        <v>203</v>
      </c>
      <c r="U85" s="33">
        <v>0.1875</v>
      </c>
      <c r="V85" s="19">
        <v>0.29375000000000001</v>
      </c>
      <c r="W85" s="19">
        <f t="shared" si="54"/>
        <v>0.10625000000000001</v>
      </c>
      <c r="X85" s="20"/>
      <c r="Y85" s="15">
        <v>0.2951388888888889</v>
      </c>
      <c r="Z85" s="20" t="s">
        <v>21</v>
      </c>
      <c r="AA85" s="20">
        <f t="shared" si="48"/>
        <v>124</v>
      </c>
      <c r="AB85" s="15">
        <f t="shared" si="51"/>
        <v>0.20416666666666666</v>
      </c>
      <c r="AC85" s="25">
        <f t="shared" si="52"/>
        <v>0.39583333333333348</v>
      </c>
      <c r="AD85" s="15">
        <f t="shared" si="49"/>
        <v>62.177083333333336</v>
      </c>
      <c r="AE85" s="19"/>
      <c r="AF85" s="20" t="s">
        <v>148</v>
      </c>
      <c r="AG85" s="26"/>
    </row>
    <row r="86" spans="1:33" s="21" customFormat="1" ht="18" customHeight="1" x14ac:dyDescent="0.25">
      <c r="A86" s="14"/>
      <c r="B86" s="15"/>
      <c r="C86" s="20"/>
      <c r="D86" s="85"/>
      <c r="E86" s="19"/>
      <c r="F86" s="19"/>
      <c r="G86" s="19"/>
      <c r="H86" s="20"/>
      <c r="I86" s="15"/>
      <c r="J86" s="20"/>
      <c r="K86" s="20"/>
      <c r="L86" s="85"/>
      <c r="M86" s="19"/>
      <c r="N86" s="19"/>
      <c r="O86" s="19"/>
      <c r="P86" s="20"/>
      <c r="Q86" s="15"/>
      <c r="R86" s="20"/>
      <c r="S86" s="20"/>
      <c r="T86" s="20"/>
      <c r="U86" s="19"/>
      <c r="V86" s="19"/>
      <c r="W86" s="19"/>
      <c r="X86" s="20"/>
      <c r="Y86" s="15"/>
      <c r="Z86" s="14"/>
      <c r="AA86" s="20"/>
      <c r="AB86" s="15"/>
      <c r="AC86" s="25"/>
      <c r="AD86" s="15"/>
      <c r="AE86" s="19"/>
      <c r="AF86" s="20"/>
      <c r="AG86" s="26"/>
    </row>
    <row r="87" spans="1:33" s="21" customFormat="1" ht="18" customHeight="1" x14ac:dyDescent="0.25">
      <c r="A87" s="14">
        <v>74</v>
      </c>
      <c r="B87" s="15">
        <v>0.89583333333333337</v>
      </c>
      <c r="C87" s="20" t="s">
        <v>21</v>
      </c>
      <c r="D87" s="20" t="s">
        <v>149</v>
      </c>
      <c r="E87" s="31"/>
      <c r="F87" s="31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19"/>
      <c r="T87" s="20" t="s">
        <v>149</v>
      </c>
      <c r="U87" s="19"/>
      <c r="V87" s="19"/>
      <c r="W87" s="15"/>
      <c r="X87" s="19"/>
      <c r="Y87" s="15">
        <v>0.27083333333333331</v>
      </c>
      <c r="Z87" s="14" t="s">
        <v>21</v>
      </c>
      <c r="AA87" s="20"/>
      <c r="AB87" s="15"/>
      <c r="AC87" s="25">
        <f>MOD(Y87-B87,1)</f>
        <v>0.375</v>
      </c>
      <c r="AD87" s="15"/>
      <c r="AE87" s="15"/>
      <c r="AF87" s="19" t="s">
        <v>150</v>
      </c>
      <c r="AG87" s="86"/>
    </row>
    <row r="88" spans="1:33" s="21" customFormat="1" ht="18" customHeight="1" x14ac:dyDescent="0.25">
      <c r="A88" s="87">
        <v>75</v>
      </c>
      <c r="B88" s="88">
        <v>0.89583333333333337</v>
      </c>
      <c r="C88" s="89" t="s">
        <v>19</v>
      </c>
      <c r="D88" s="89" t="s">
        <v>151</v>
      </c>
      <c r="E88" s="54"/>
      <c r="F88" s="54"/>
      <c r="G88" s="54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54"/>
      <c r="T88" s="89" t="s">
        <v>151</v>
      </c>
      <c r="U88" s="54"/>
      <c r="V88" s="54"/>
      <c r="W88" s="88"/>
      <c r="X88" s="54"/>
      <c r="Y88" s="88">
        <v>0.27083333333333331</v>
      </c>
      <c r="Z88" s="87" t="s">
        <v>21</v>
      </c>
      <c r="AA88" s="89"/>
      <c r="AB88" s="88"/>
      <c r="AC88" s="90">
        <f>MOD(Y88-B88,1)</f>
        <v>0.375</v>
      </c>
      <c r="AD88" s="88"/>
      <c r="AE88" s="88"/>
      <c r="AF88" s="54" t="s">
        <v>151</v>
      </c>
      <c r="AG88" s="86"/>
    </row>
    <row r="89" spans="1:33" ht="21" customHeight="1" x14ac:dyDescent="0.25">
      <c r="A89" s="41"/>
      <c r="B89" s="91"/>
      <c r="C89" s="41"/>
      <c r="D89" s="41"/>
      <c r="E89" s="92"/>
      <c r="F89" s="92"/>
      <c r="G89" s="92"/>
      <c r="H89" s="41"/>
      <c r="I89" s="92"/>
      <c r="J89" s="41"/>
      <c r="K89" s="41"/>
      <c r="L89" s="41"/>
      <c r="M89" s="92"/>
      <c r="N89" s="92"/>
      <c r="O89" s="92"/>
      <c r="P89" s="41"/>
      <c r="Q89" s="92"/>
      <c r="R89" s="41"/>
      <c r="S89" s="41"/>
      <c r="T89" s="41"/>
      <c r="U89" s="92"/>
      <c r="V89" s="92"/>
      <c r="W89" s="92"/>
      <c r="X89" s="41"/>
      <c r="Y89" s="92"/>
      <c r="Z89" s="93" t="s">
        <v>152</v>
      </c>
      <c r="AA89" s="94"/>
      <c r="AB89" s="95">
        <f>AVERAGE(AB11:AB88)</f>
        <v>0.20951370804398151</v>
      </c>
      <c r="AC89" s="96">
        <f>AVERAGE(AC11:AC88)</f>
        <v>0.3239042075163398</v>
      </c>
      <c r="AD89" s="96">
        <f>AVERAGE(AD11:AD88)</f>
        <v>8.0491655465949812</v>
      </c>
      <c r="AE89" s="96" t="e">
        <f>AVERAGE(AE11:AE88)</f>
        <v>#DIV/0!</v>
      </c>
      <c r="AF89" s="39"/>
      <c r="AG89" s="97"/>
    </row>
    <row r="90" spans="1:33" s="99" customFormat="1" x14ac:dyDescent="0.25">
      <c r="A90" s="5"/>
      <c r="B90" s="98"/>
      <c r="J90" s="5"/>
      <c r="K90" s="5"/>
      <c r="L90" s="5"/>
      <c r="P90" s="5"/>
      <c r="R90" s="5"/>
      <c r="S90" s="5"/>
      <c r="T90" s="5"/>
      <c r="X90" s="5"/>
      <c r="Z90" s="5"/>
      <c r="AA90" s="5"/>
      <c r="AC90" s="3"/>
      <c r="AD90" s="3"/>
      <c r="AE90" s="3"/>
      <c r="AF90" s="4"/>
      <c r="AG90" s="5"/>
    </row>
    <row r="91" spans="1:33" s="99" customFormat="1" x14ac:dyDescent="0.25">
      <c r="A91" s="5"/>
      <c r="B91" s="98"/>
      <c r="J91" s="5"/>
      <c r="K91" s="5"/>
      <c r="L91" s="5"/>
      <c r="P91" s="5"/>
      <c r="R91" s="5"/>
      <c r="S91" s="5"/>
      <c r="T91" s="5"/>
      <c r="X91" s="5"/>
      <c r="Z91" s="5"/>
      <c r="AA91" s="5"/>
      <c r="AC91" s="3"/>
      <c r="AD91" s="3"/>
      <c r="AE91" s="3"/>
      <c r="AF91" s="4"/>
      <c r="AG91" s="5"/>
    </row>
    <row r="92" spans="1:33" s="99" customFormat="1" x14ac:dyDescent="0.25">
      <c r="A92" s="5"/>
      <c r="B92" s="98"/>
      <c r="J92" s="5"/>
      <c r="K92" s="5"/>
      <c r="L92" s="5"/>
      <c r="P92" s="5"/>
      <c r="R92" s="5"/>
      <c r="S92" s="5"/>
      <c r="T92" s="5"/>
      <c r="X92" s="5"/>
      <c r="Z92" s="5"/>
      <c r="AA92" s="5"/>
      <c r="AC92" s="3"/>
      <c r="AD92" s="3"/>
      <c r="AE92" s="3"/>
      <c r="AF92" s="4"/>
      <c r="AG92" s="5"/>
    </row>
    <row r="93" spans="1:33" s="99" customFormat="1" x14ac:dyDescent="0.25">
      <c r="A93" s="5"/>
      <c r="B93" s="98"/>
      <c r="J93" s="5"/>
      <c r="K93" s="5"/>
      <c r="L93" s="5"/>
      <c r="P93" s="5"/>
      <c r="R93" s="5"/>
      <c r="S93" s="5"/>
      <c r="T93" s="5"/>
      <c r="X93" s="5"/>
      <c r="Z93" s="5"/>
      <c r="AA93" s="5"/>
      <c r="AC93" s="3"/>
      <c r="AD93" s="3"/>
      <c r="AE93" s="3"/>
      <c r="AF93" s="4"/>
      <c r="AG93" s="5"/>
    </row>
    <row r="94" spans="1:33" s="99" customFormat="1" x14ac:dyDescent="0.25">
      <c r="A94" s="5"/>
      <c r="B94" s="98"/>
      <c r="J94" s="5"/>
      <c r="K94" s="5"/>
      <c r="L94" s="5"/>
      <c r="P94" s="5"/>
      <c r="R94" s="5"/>
      <c r="S94" s="5"/>
      <c r="T94" s="5"/>
      <c r="X94" s="5"/>
      <c r="Z94" s="5"/>
      <c r="AA94" s="5"/>
      <c r="AC94" s="3"/>
      <c r="AD94" s="3"/>
      <c r="AE94" s="3"/>
      <c r="AF94" s="4"/>
      <c r="AG94" s="5"/>
    </row>
    <row r="95" spans="1:33" x14ac:dyDescent="0.25">
      <c r="B95" s="98"/>
    </row>
    <row r="96" spans="1:33" x14ac:dyDescent="0.25">
      <c r="B96" s="98"/>
    </row>
    <row r="97" spans="1:33" x14ac:dyDescent="0.25">
      <c r="B97" s="98"/>
    </row>
    <row r="98" spans="1:33" x14ac:dyDescent="0.25">
      <c r="B98" s="98"/>
    </row>
    <row r="99" spans="1:33" s="99" customFormat="1" x14ac:dyDescent="0.25">
      <c r="A99" s="5"/>
      <c r="B99" s="98"/>
      <c r="D99" s="5"/>
      <c r="J99" s="5"/>
      <c r="K99" s="5"/>
      <c r="L99" s="5"/>
      <c r="P99" s="5"/>
      <c r="R99" s="5"/>
      <c r="S99" s="5"/>
      <c r="T99" s="5"/>
      <c r="X99" s="5"/>
      <c r="Z99" s="5"/>
      <c r="AA99" s="5"/>
      <c r="AC99" s="3"/>
      <c r="AD99" s="3"/>
      <c r="AE99" s="3"/>
      <c r="AF99" s="4"/>
      <c r="AG99" s="5"/>
    </row>
    <row r="100" spans="1:33" s="99" customFormat="1" x14ac:dyDescent="0.25">
      <c r="A100" s="5"/>
      <c r="B100" s="98"/>
      <c r="J100" s="5"/>
      <c r="K100" s="5"/>
      <c r="L100" s="5"/>
      <c r="P100" s="5"/>
      <c r="R100" s="5"/>
      <c r="S100" s="5"/>
      <c r="T100" s="5"/>
      <c r="X100" s="5"/>
      <c r="Z100" s="5"/>
      <c r="AA100" s="5"/>
      <c r="AC100" s="3"/>
      <c r="AD100" s="3"/>
      <c r="AE100" s="3"/>
      <c r="AF100" s="4"/>
      <c r="AG100" s="5"/>
    </row>
    <row r="101" spans="1:33" s="99" customFormat="1" x14ac:dyDescent="0.25">
      <c r="A101" s="5"/>
      <c r="B101" s="98"/>
      <c r="J101" s="5"/>
      <c r="K101" s="5"/>
      <c r="L101" s="5"/>
      <c r="P101" s="5"/>
      <c r="R101" s="5"/>
      <c r="S101" s="5"/>
      <c r="T101" s="5"/>
      <c r="X101" s="5"/>
      <c r="Z101" s="5"/>
      <c r="AA101" s="5"/>
      <c r="AC101" s="3"/>
      <c r="AD101" s="3"/>
      <c r="AE101" s="3"/>
      <c r="AF101" s="4"/>
      <c r="AG101" s="5"/>
    </row>
    <row r="102" spans="1:33" s="99" customFormat="1" x14ac:dyDescent="0.25">
      <c r="A102" s="5"/>
      <c r="B102" s="98"/>
      <c r="J102" s="5"/>
      <c r="K102" s="5"/>
      <c r="L102" s="5"/>
      <c r="P102" s="5"/>
      <c r="R102" s="5"/>
      <c r="S102" s="5"/>
      <c r="T102" s="5"/>
      <c r="X102" s="5"/>
      <c r="Z102" s="5"/>
      <c r="AA102" s="5"/>
      <c r="AC102" s="3"/>
      <c r="AD102" s="3"/>
      <c r="AE102" s="3"/>
      <c r="AF102" s="4"/>
      <c r="AG102" s="5"/>
    </row>
    <row r="103" spans="1:33" s="99" customFormat="1" x14ac:dyDescent="0.25">
      <c r="A103" s="5"/>
      <c r="B103" s="98"/>
      <c r="J103" s="5"/>
      <c r="K103" s="5"/>
      <c r="L103" s="5"/>
      <c r="P103" s="5"/>
      <c r="R103" s="5"/>
      <c r="S103" s="5"/>
      <c r="T103" s="5"/>
      <c r="X103" s="5"/>
      <c r="Z103" s="5"/>
      <c r="AA103" s="5"/>
      <c r="AC103" s="3"/>
      <c r="AD103" s="3"/>
      <c r="AE103" s="3"/>
      <c r="AF103" s="4"/>
      <c r="AG103" s="5"/>
    </row>
    <row r="104" spans="1:33" s="99" customFormat="1" x14ac:dyDescent="0.25">
      <c r="A104" s="5"/>
      <c r="J104" s="5"/>
      <c r="K104" s="5"/>
      <c r="L104" s="5"/>
      <c r="P104" s="5"/>
      <c r="R104" s="5"/>
      <c r="S104" s="5"/>
      <c r="T104" s="5"/>
      <c r="X104" s="5"/>
      <c r="Z104" s="5"/>
      <c r="AA104" s="5"/>
      <c r="AC104" s="3"/>
      <c r="AD104" s="3"/>
      <c r="AE104" s="3"/>
      <c r="AF104" s="4"/>
      <c r="AG104" s="5"/>
    </row>
    <row r="105" spans="1:33" s="99" customFormat="1" x14ac:dyDescent="0.25">
      <c r="A105" s="5"/>
      <c r="J105" s="5"/>
      <c r="K105" s="5"/>
      <c r="L105" s="5"/>
      <c r="P105" s="5"/>
      <c r="R105" s="5"/>
      <c r="S105" s="5"/>
      <c r="T105" s="5"/>
      <c r="X105" s="5"/>
      <c r="Z105" s="5"/>
      <c r="AA105" s="5"/>
      <c r="AC105" s="3"/>
      <c r="AD105" s="3"/>
      <c r="AE105" s="3"/>
      <c r="AF105" s="4"/>
      <c r="AG105" s="5"/>
    </row>
    <row r="106" spans="1:33" s="99" customFormat="1" x14ac:dyDescent="0.25">
      <c r="A106" s="5"/>
      <c r="J106" s="5"/>
      <c r="K106" s="5"/>
      <c r="L106" s="5"/>
      <c r="P106" s="5"/>
      <c r="R106" s="5"/>
      <c r="S106" s="5"/>
      <c r="T106" s="5"/>
      <c r="X106" s="5"/>
      <c r="Z106" s="5"/>
      <c r="AA106" s="5"/>
      <c r="AC106" s="3"/>
      <c r="AD106" s="3"/>
      <c r="AE106" s="3"/>
      <c r="AF106" s="4"/>
      <c r="AG106" s="5"/>
    </row>
    <row r="107" spans="1:33" s="99" customFormat="1" x14ac:dyDescent="0.25">
      <c r="A107" s="5"/>
      <c r="J107" s="5"/>
      <c r="K107" s="5"/>
      <c r="L107" s="5"/>
      <c r="P107" s="5"/>
      <c r="R107" s="5"/>
      <c r="S107" s="5"/>
      <c r="T107" s="5"/>
      <c r="X107" s="5"/>
      <c r="Z107" s="5"/>
      <c r="AA107" s="5"/>
      <c r="AC107" s="3"/>
      <c r="AD107" s="3"/>
      <c r="AE107" s="3"/>
      <c r="AF107" s="4"/>
      <c r="AG107" s="5"/>
    </row>
    <row r="108" spans="1:33" s="99" customFormat="1" x14ac:dyDescent="0.25">
      <c r="A108" s="5"/>
      <c r="J108" s="5"/>
      <c r="K108" s="5"/>
      <c r="L108" s="5"/>
      <c r="P108" s="5"/>
      <c r="R108" s="5"/>
      <c r="S108" s="5"/>
      <c r="T108" s="5"/>
      <c r="X108" s="5"/>
      <c r="Z108" s="5"/>
      <c r="AA108" s="5"/>
      <c r="AC108" s="3"/>
      <c r="AD108" s="3"/>
      <c r="AE108" s="3"/>
      <c r="AF108" s="4"/>
      <c r="AG108" s="5"/>
    </row>
    <row r="109" spans="1:33" s="99" customFormat="1" x14ac:dyDescent="0.25">
      <c r="A109" s="5"/>
      <c r="J109" s="5"/>
      <c r="K109" s="5"/>
      <c r="L109" s="5"/>
      <c r="P109" s="5"/>
      <c r="R109" s="5"/>
      <c r="S109" s="5"/>
      <c r="T109" s="5"/>
      <c r="X109" s="5"/>
      <c r="Z109" s="5"/>
      <c r="AA109" s="5"/>
      <c r="AC109" s="3"/>
      <c r="AD109" s="3"/>
      <c r="AE109" s="3"/>
      <c r="AF109" s="4"/>
      <c r="AG109" s="5"/>
    </row>
    <row r="110" spans="1:33" s="99" customFormat="1" x14ac:dyDescent="0.25">
      <c r="A110" s="5"/>
      <c r="J110" s="5"/>
      <c r="K110" s="5"/>
      <c r="L110" s="5"/>
      <c r="P110" s="5"/>
      <c r="R110" s="5"/>
      <c r="S110" s="5"/>
      <c r="T110" s="5"/>
      <c r="X110" s="5"/>
      <c r="Z110" s="5"/>
      <c r="AA110" s="5"/>
      <c r="AC110" s="3"/>
      <c r="AD110" s="3"/>
      <c r="AE110" s="3"/>
      <c r="AF110" s="4"/>
      <c r="AG110" s="5"/>
    </row>
    <row r="111" spans="1:33" s="99" customFormat="1" x14ac:dyDescent="0.25">
      <c r="A111" s="5"/>
      <c r="J111" s="5"/>
      <c r="K111" s="5"/>
      <c r="L111" s="5"/>
      <c r="P111" s="5"/>
      <c r="R111" s="5"/>
      <c r="S111" s="5"/>
      <c r="T111" s="5"/>
      <c r="X111" s="5"/>
      <c r="Z111" s="5"/>
      <c r="AA111" s="5"/>
      <c r="AC111" s="3"/>
      <c r="AD111" s="3"/>
      <c r="AE111" s="3"/>
      <c r="AF111" s="4"/>
      <c r="AG111" s="5"/>
    </row>
    <row r="112" spans="1:33" s="99" customFormat="1" x14ac:dyDescent="0.25">
      <c r="A112" s="5"/>
      <c r="J112" s="5"/>
      <c r="K112" s="5"/>
      <c r="L112" s="5"/>
      <c r="P112" s="5"/>
      <c r="R112" s="5"/>
      <c r="S112" s="5"/>
      <c r="T112" s="5"/>
      <c r="X112" s="5"/>
      <c r="Z112" s="5"/>
      <c r="AA112" s="5"/>
      <c r="AC112" s="3"/>
      <c r="AD112" s="3"/>
      <c r="AE112" s="3"/>
      <c r="AF112" s="4"/>
      <c r="AG112" s="5"/>
    </row>
    <row r="113" spans="1:65" s="99" customFormat="1" x14ac:dyDescent="0.25">
      <c r="A113" s="5"/>
      <c r="J113" s="5"/>
      <c r="K113" s="5"/>
      <c r="L113" s="5"/>
      <c r="P113" s="5"/>
      <c r="R113" s="5"/>
      <c r="S113" s="5"/>
      <c r="T113" s="5"/>
      <c r="X113" s="5"/>
      <c r="Z113" s="5"/>
      <c r="AA113" s="5"/>
      <c r="AC113" s="3"/>
      <c r="AD113" s="3"/>
      <c r="AE113" s="3"/>
      <c r="AF113" s="4"/>
      <c r="AG113" s="5"/>
    </row>
    <row r="114" spans="1:65" s="99" customFormat="1" x14ac:dyDescent="0.25">
      <c r="A114" s="5"/>
      <c r="C114" s="5"/>
      <c r="H114" s="5"/>
      <c r="J114" s="5"/>
      <c r="K114" s="5"/>
      <c r="L114" s="5"/>
      <c r="P114" s="5"/>
      <c r="R114" s="5"/>
      <c r="S114" s="5"/>
      <c r="T114" s="5"/>
      <c r="X114" s="5"/>
      <c r="Z114" s="5"/>
      <c r="AA114" s="5"/>
      <c r="AC114" s="3"/>
      <c r="AD114" s="3"/>
      <c r="AE114" s="3"/>
      <c r="AF114" s="4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</sheetData>
  <mergeCells count="1">
    <mergeCell ref="A1:AB1"/>
  </mergeCells>
  <printOptions horizontalCentered="1" verticalCentered="1"/>
  <pageMargins left="0" right="0" top="0" bottom="0" header="0" footer="0"/>
  <pageSetup paperSize="9" scale="71" fitToHeight="2" orientation="landscape" r:id="rId1"/>
  <rowBreaks count="1" manualBreakCount="1">
    <brk id="45" max="2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Sat CRRC link </vt:lpstr>
      <vt:lpstr>'Sat CRRC link '!Print_Area</vt:lpstr>
      <vt:lpstr>'Sat CRRC link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pyidcrewmu</cp:lastModifiedBy>
  <dcterms:created xsi:type="dcterms:W3CDTF">2026-10-06T10:38:36Z</dcterms:created>
  <dcterms:modified xsi:type="dcterms:W3CDTF">2026-10-06T10:38:51Z</dcterms:modified>
</cp:coreProperties>
</file>