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/>
  </bookViews>
  <sheets>
    <sheet name="Sat &amp; GH Link roster" sheetId="2" r:id="rId1"/>
  </sheets>
  <externalReferences>
    <externalReference r:id="rId2"/>
  </externalReferences>
  <definedNames>
    <definedName name="ll" localSheetId="0">#REF!</definedName>
    <definedName name="_xlnm.Print_Area" localSheetId="0">'Sat &amp; GH Link roster'!$A$1:$AA$87</definedName>
    <definedName name="_xlnm.Print_Titles" localSheetId="0">'Sat &amp; GH Link roster'!$1:$2</definedName>
    <definedName name="timings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<sst xmlns="http://schemas.openxmlformats.org/spreadsheetml/2006/main" count="295" uniqueCount="115">
  <si>
    <r>
      <rPr>
        <b/>
        <sz val="20"/>
        <color theme="1"/>
        <rFont val="Cambria"/>
        <charset val="134"/>
      </rPr>
      <t xml:space="preserve">Line 2 All SATURDAY &amp; GH </t>
    </r>
    <r>
      <rPr>
        <b/>
        <sz val="14"/>
        <color theme="1"/>
        <rFont val="Cambria"/>
        <charset val="134"/>
      </rPr>
      <t>(Exp Mon GH)</t>
    </r>
    <r>
      <rPr>
        <b/>
        <sz val="20"/>
        <color theme="1"/>
        <rFont val="Cambria"/>
        <charset val="134"/>
      </rPr>
      <t xml:space="preserve"> Link for TT WEF 15-3-2025 (APTS - BIET) </t>
    </r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</si>
  <si>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</si>
  <si>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</si>
  <si>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</si>
  <si>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</si>
  <si>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</si>
  <si>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</si>
  <si>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</si>
  <si>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</si>
  <si>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>Break</t>
  </si>
  <si>
    <t>Takeover
Location</t>
  </si>
  <si>
    <t>BreakCouns</t>
  </si>
  <si>
    <t>S OFF Time</t>
  </si>
  <si>
    <t>Sign Off Location</t>
  </si>
  <si>
    <t>Kms</t>
  </si>
  <si>
    <t>Duty Hrs</t>
  </si>
  <si>
    <t>Driving Hrs</t>
  </si>
  <si>
    <t>Counselling</t>
  </si>
  <si>
    <t>Duty Type</t>
  </si>
  <si>
    <t>PYID</t>
  </si>
  <si>
    <t>Pro 1</t>
  </si>
  <si>
    <t>PRO1</t>
  </si>
  <si>
    <t>Rd3 Stby</t>
  </si>
  <si>
    <t>R3Stby</t>
  </si>
  <si>
    <t>KGWA DN</t>
  </si>
  <si>
    <t>3T</t>
  </si>
  <si>
    <t xml:space="preserve"> PYID RD3</t>
  </si>
  <si>
    <t>P DHO</t>
  </si>
  <si>
    <t>DEPOT</t>
  </si>
  <si>
    <t>Dpo-Rd3/NO PDC</t>
  </si>
  <si>
    <t>5T3</t>
  </si>
  <si>
    <t>6T3</t>
  </si>
  <si>
    <t>PYID DN</t>
  </si>
  <si>
    <t>7T3</t>
  </si>
  <si>
    <t>8T3</t>
  </si>
  <si>
    <t>9T3</t>
  </si>
  <si>
    <t>10T3</t>
  </si>
  <si>
    <t>Dpo - Rd3</t>
  </si>
  <si>
    <t>12T3</t>
  </si>
  <si>
    <t>13T3</t>
  </si>
  <si>
    <t>KGWA</t>
  </si>
  <si>
    <t>16T3</t>
  </si>
  <si>
    <t>PUTH UP</t>
  </si>
  <si>
    <t>17T</t>
  </si>
  <si>
    <t>Couns(12:30)</t>
  </si>
  <si>
    <t>PUTH DN</t>
  </si>
  <si>
    <t>PUTH</t>
  </si>
  <si>
    <t>19T3</t>
  </si>
  <si>
    <t>21T3</t>
  </si>
  <si>
    <t>Couns(12:15)</t>
  </si>
  <si>
    <t>23T3</t>
  </si>
  <si>
    <t>25T3</t>
  </si>
  <si>
    <t>26T3</t>
  </si>
  <si>
    <t>Couns(13:00)</t>
  </si>
  <si>
    <t>27T3</t>
  </si>
  <si>
    <t>KGWA UP</t>
  </si>
  <si>
    <t>28T3</t>
  </si>
  <si>
    <t>29T3</t>
  </si>
  <si>
    <t>Pro 2</t>
  </si>
  <si>
    <t>PRO2</t>
  </si>
  <si>
    <t xml:space="preserve">PYID </t>
  </si>
  <si>
    <t>Couns</t>
  </si>
  <si>
    <t>34T</t>
  </si>
  <si>
    <t>Depot</t>
  </si>
  <si>
    <t>Couns(15:00)</t>
  </si>
  <si>
    <t>RD3</t>
  </si>
  <si>
    <t>37T3</t>
  </si>
  <si>
    <t>38T3</t>
  </si>
  <si>
    <t>39T3</t>
  </si>
  <si>
    <t>40T3</t>
  </si>
  <si>
    <t>42T3</t>
  </si>
  <si>
    <t>43T3</t>
  </si>
  <si>
    <t>47T</t>
  </si>
  <si>
    <t>48T</t>
  </si>
  <si>
    <t>APTS DN</t>
  </si>
  <si>
    <t>N59Ap</t>
  </si>
  <si>
    <t>PUTH-NLC Pilot</t>
  </si>
  <si>
    <t>N60</t>
  </si>
  <si>
    <t>NLC UP</t>
  </si>
  <si>
    <t>Pilot</t>
  </si>
  <si>
    <t>NLC UP PF</t>
  </si>
  <si>
    <t>N61Nlc</t>
  </si>
  <si>
    <t>N62</t>
  </si>
  <si>
    <t>APTS UP</t>
  </si>
  <si>
    <t>APTS-PUTH Pilot</t>
  </si>
  <si>
    <t>N63Ap</t>
  </si>
  <si>
    <t>BT DN B/E</t>
  </si>
  <si>
    <t>BT DN BE</t>
  </si>
  <si>
    <t>N64Bi</t>
  </si>
  <si>
    <t>B DHO</t>
  </si>
  <si>
    <t>Ntest</t>
  </si>
  <si>
    <t>PDC 214, 215,216</t>
  </si>
  <si>
    <t>N65</t>
  </si>
  <si>
    <t>N PKT/Depot</t>
  </si>
  <si>
    <t>N66</t>
  </si>
  <si>
    <t>NG DN PF</t>
  </si>
  <si>
    <t>NGSA-KGWA Pilot</t>
  </si>
  <si>
    <t>NGSA DN PF</t>
  </si>
  <si>
    <t>N67Ng</t>
  </si>
  <si>
    <t xml:space="preserve">PYID  </t>
  </si>
  <si>
    <t>BIET UP PF</t>
  </si>
  <si>
    <t>N68Bi</t>
  </si>
  <si>
    <t>N69</t>
  </si>
  <si>
    <t>SPGD DN PF</t>
  </si>
  <si>
    <t>N70Sp</t>
  </si>
  <si>
    <t>JIDL UP PF</t>
  </si>
  <si>
    <t>JIDL UP</t>
  </si>
  <si>
    <t>N71Jd</t>
  </si>
  <si>
    <t>BIET DN PF</t>
  </si>
  <si>
    <t>BIET-NGSA Pilot</t>
  </si>
  <si>
    <t>N72Bi</t>
  </si>
  <si>
    <t>Pro 3</t>
  </si>
  <si>
    <t>PRO3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</si>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</sst>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;@"/>
  </numFmts>
  <fonts count="30">
    <font>
      <sz val="11"/>
      <color theme="1"/>
      <name val="Calibri"/>
      <charset val="134"/>
      <scheme val="minor"/>
    </font>
    <font>
      <b/>
      <sz val="10"/>
      <color theme="1"/>
      <name val="Tahoma"/>
      <charset val="134"/>
    </font>
    <font>
      <sz val="11"/>
      <color theme="1"/>
      <name val="Tahoma"/>
      <charset val="134"/>
    </font>
    <font>
      <b/>
      <sz val="20"/>
      <color theme="1"/>
      <name val="Cambri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sz val="10"/>
      <color theme="1"/>
      <name val="Tahoma"/>
      <charset val="134"/>
    </font>
    <font>
      <b/>
      <sz val="10"/>
      <color theme="1"/>
      <name val="Arial Narrow"/>
      <charset val="134"/>
    </font>
    <font>
      <sz val="12"/>
      <name val="Tahoma"/>
      <charset val="134"/>
    </font>
    <font>
      <u/>
      <sz val="12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Cambri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02">
    <xf numFmtId="0" fontId="0" fillId="0" borderId="0" xfId="0"/>
    <xf numFmtId="0" fontId="1" fillId="0" borderId="0" xfId="0" applyNumberFormat="1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80" fontId="1" fillId="0" borderId="3" xfId="0" applyNumberFormat="1" applyFont="1" applyFill="1" applyBorder="1" applyAlignment="1">
      <alignment horizontal="center" vertical="center" wrapText="1"/>
    </xf>
    <xf numFmtId="180" fontId="1" fillId="0" borderId="4" xfId="0" applyNumberFormat="1" applyFont="1" applyFill="1" applyBorder="1" applyAlignment="1">
      <alignment horizontal="center" vertical="center" wrapText="1"/>
    </xf>
    <xf numFmtId="18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80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180" fontId="5" fillId="3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/>
    </xf>
    <xf numFmtId="180" fontId="4" fillId="3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80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/>
    </xf>
    <xf numFmtId="20" fontId="4" fillId="0" borderId="4" xfId="0" applyNumberFormat="1" applyFont="1" applyFill="1" applyBorder="1" applyAlignment="1">
      <alignment horizontal="center" vertical="center"/>
    </xf>
    <xf numFmtId="20" fontId="5" fillId="0" borderId="4" xfId="0" applyNumberFormat="1" applyFont="1" applyFill="1" applyBorder="1" applyAlignment="1">
      <alignment horizontal="center" vertical="center"/>
    </xf>
    <xf numFmtId="180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80" fontId="4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0" fontId="5" fillId="3" borderId="4" xfId="0" applyNumberFormat="1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80" fontId="5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vertical="center" wrapText="1"/>
    </xf>
    <xf numFmtId="180" fontId="4" fillId="0" borderId="4" xfId="0" applyNumberFormat="1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180" fontId="4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80" fontId="5" fillId="0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80" fontId="4" fillId="2" borderId="4" xfId="0" applyNumberFormat="1" applyFont="1" applyFill="1" applyBorder="1" applyAlignment="1">
      <alignment horizontal="center" vertical="center" wrapText="1"/>
    </xf>
    <xf numFmtId="180" fontId="8" fillId="0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180" fontId="4" fillId="0" borderId="5" xfId="0" applyNumberFormat="1" applyFont="1" applyFill="1" applyBorder="1" applyAlignment="1">
      <alignment horizontal="center" vertical="center" wrapText="1"/>
    </xf>
    <xf numFmtId="180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80" fontId="5" fillId="3" borderId="0" xfId="0" applyNumberFormat="1" applyFont="1" applyFill="1" applyBorder="1" applyAlignment="1">
      <alignment horizontal="center" vertical="center"/>
    </xf>
    <xf numFmtId="180" fontId="4" fillId="3" borderId="0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180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180" fontId="8" fillId="0" borderId="3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80" fontId="5" fillId="0" borderId="5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ages\OneDrive\Desktop\all%20day%20roster%20and%20Time%20table\only%20WTT\sat%20&amp;%20GH%20WT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t &amp; GH WT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BM113"/>
  <sheetViews>
    <sheetView tabSelected="1" view="pageBreakPreview" zoomScale="85" zoomScaleNormal="85" workbookViewId="0">
      <pane xSplit="2" ySplit="2" topLeftCell="C36" activePane="bottomRight" state="frozen"/>
      <selection/>
      <selection pane="topRight"/>
      <selection pane="bottomLeft"/>
      <selection pane="bottomRight" activeCell="A53" sqref="A53"/>
    </sheetView>
  </sheetViews>
  <sheetFormatPr defaultColWidth="9" defaultRowHeight="14.25"/>
  <cols>
    <col min="1" max="1" width="6" style="10" customWidth="1"/>
    <col min="2" max="2" width="7.42857142857143" style="9" customWidth="1"/>
    <col min="3" max="3" width="12.1428571428571" style="10" customWidth="1"/>
    <col min="4" max="4" width="6.42857142857143" style="10" customWidth="1"/>
    <col min="5" max="6" width="8.42857142857143" style="9" customWidth="1"/>
    <col min="7" max="7" width="6.71428571428571" style="9" customWidth="1"/>
    <col min="8" max="8" width="13.8571428571429" style="10" customWidth="1"/>
    <col min="9" max="9" width="6.71428571428571" style="9" customWidth="1"/>
    <col min="10" max="10" width="1" style="10" customWidth="1"/>
    <col min="11" max="11" width="9.85714285714286" style="10" customWidth="1"/>
    <col min="12" max="12" width="6.42857142857143" style="10" customWidth="1"/>
    <col min="13" max="14" width="8.42857142857143" style="9" customWidth="1"/>
    <col min="15" max="15" width="6.71428571428571" style="9" customWidth="1"/>
    <col min="16" max="16" width="10.7142857142857" style="10" customWidth="1"/>
    <col min="17" max="17" width="6.57142857142857" style="9" customWidth="1"/>
    <col min="18" max="18" width="1.28571428571429" style="10" customWidth="1"/>
    <col min="19" max="19" width="13" style="10" customWidth="1"/>
    <col min="20" max="20" width="6.42857142857143" style="10" customWidth="1"/>
    <col min="21" max="22" width="8.42857142857143" style="9" customWidth="1"/>
    <col min="23" max="23" width="6.71428571428571" style="9" customWidth="1"/>
    <col min="24" max="24" width="13.1428571428571" style="10" customWidth="1"/>
    <col min="25" max="25" width="7.57142857142857" style="9" customWidth="1"/>
    <col min="26" max="26" width="9.14285714285714" style="10" customWidth="1"/>
    <col min="27" max="27" width="6" style="10" customWidth="1"/>
    <col min="28" max="29" width="10.8571428571429" style="9" customWidth="1"/>
    <col min="30" max="31" width="9.28571428571429" style="9" customWidth="1"/>
    <col min="32" max="33" width="7.85714285714286" style="7" customWidth="1"/>
    <col min="34" max="16384" width="9.14285714285714" style="10"/>
  </cols>
  <sheetData>
    <row r="1" ht="21.75" customHeight="1" spans="1:6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</row>
    <row r="2" s="1" customFormat="1" ht="30.75" customHeight="1" spans="1:65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/>
      <c r="K2" s="14" t="s">
        <v>10</v>
      </c>
      <c r="L2" s="14" t="s">
        <v>4</v>
      </c>
      <c r="M2" s="14" t="s">
        <v>5</v>
      </c>
      <c r="N2" s="14" t="s">
        <v>6</v>
      </c>
      <c r="O2" s="14" t="s">
        <v>7</v>
      </c>
      <c r="P2" s="14" t="s">
        <v>8</v>
      </c>
      <c r="Q2" s="14" t="s">
        <v>11</v>
      </c>
      <c r="R2" s="14"/>
      <c r="S2" s="14" t="s">
        <v>10</v>
      </c>
      <c r="T2" s="14" t="s">
        <v>4</v>
      </c>
      <c r="U2" s="14" t="s">
        <v>5</v>
      </c>
      <c r="V2" s="14" t="s">
        <v>6</v>
      </c>
      <c r="W2" s="14" t="s">
        <v>7</v>
      </c>
      <c r="X2" s="14" t="s">
        <v>8</v>
      </c>
      <c r="Y2" s="15" t="s">
        <v>12</v>
      </c>
      <c r="Z2" s="14" t="s">
        <v>13</v>
      </c>
      <c r="AA2" s="14" t="s">
        <v>14</v>
      </c>
      <c r="AB2" s="16" t="s">
        <v>15</v>
      </c>
      <c r="AC2" s="17" t="s">
        <v>16</v>
      </c>
      <c r="AD2" s="18" t="s">
        <v>9</v>
      </c>
      <c r="AE2" s="17" t="s">
        <v>17</v>
      </c>
      <c r="AF2" s="14" t="s">
        <v>18</v>
      </c>
      <c r="AG2" s="19"/>
    </row>
    <row r="3" s="2" customFormat="1" ht="18.95" customHeight="1" spans="1:65">
      <c r="A3" s="20">
        <v>1</v>
      </c>
      <c r="B3" s="21">
        <v>0.25</v>
      </c>
      <c r="C3" s="20" t="s">
        <v>19</v>
      </c>
      <c r="D3" s="22" t="s">
        <v>20</v>
      </c>
      <c r="E3" s="23"/>
      <c r="F3" s="24"/>
      <c r="G3" s="25"/>
      <c r="H3" s="24"/>
      <c r="I3" s="24"/>
      <c r="J3" s="24"/>
      <c r="K3" s="24"/>
      <c r="L3" s="22"/>
      <c r="M3" s="24"/>
      <c r="N3" s="24"/>
      <c r="O3" s="25"/>
      <c r="P3" s="24"/>
      <c r="Q3" s="24"/>
      <c r="R3" s="24"/>
      <c r="S3" s="24"/>
      <c r="T3" s="22" t="s">
        <v>20</v>
      </c>
      <c r="U3" s="24"/>
      <c r="V3" s="24"/>
      <c r="W3" s="25"/>
      <c r="X3" s="24"/>
      <c r="Y3" s="21">
        <v>0.583333333333333</v>
      </c>
      <c r="Z3" s="20" t="s">
        <v>19</v>
      </c>
      <c r="AA3" s="26"/>
      <c r="AB3" s="27">
        <f>MOD((Y3-B3),1)</f>
        <v>0.333333333333333</v>
      </c>
      <c r="AC3" s="26"/>
      <c r="AD3" s="26"/>
      <c r="AE3" s="26"/>
      <c r="AF3" s="26" t="s">
        <v>21</v>
      </c>
      <c r="AG3" s="28"/>
      <c r="AH3" s="7"/>
      <c r="AI3" s="7"/>
      <c r="AJ3" s="7"/>
      <c r="AK3" s="7"/>
      <c r="AL3" s="7"/>
      <c r="AM3" s="29"/>
      <c r="AN3" s="7"/>
      <c r="AO3" s="7"/>
      <c r="AP3" s="30"/>
      <c r="AQ3" s="31"/>
      <c r="AR3" s="30"/>
      <c r="AS3" s="30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="3" customFormat="1" ht="18.95" customHeight="1" spans="1:65">
      <c r="A4" s="32">
        <v>2</v>
      </c>
      <c r="B4" s="33">
        <v>0.25</v>
      </c>
      <c r="C4" s="32" t="s">
        <v>19</v>
      </c>
      <c r="D4" s="34" t="s">
        <v>22</v>
      </c>
      <c r="E4" s="35"/>
      <c r="F4" s="36"/>
      <c r="G4" s="37"/>
      <c r="H4" s="38"/>
      <c r="I4" s="37"/>
      <c r="J4" s="38"/>
      <c r="K4" s="38"/>
      <c r="L4" s="38"/>
      <c r="M4" s="37"/>
      <c r="N4" s="37"/>
      <c r="O4" s="37"/>
      <c r="P4" s="38"/>
      <c r="Q4" s="33"/>
      <c r="R4" s="38"/>
      <c r="S4" s="38"/>
      <c r="T4" s="34"/>
      <c r="U4" s="38"/>
      <c r="V4" s="38"/>
      <c r="W4" s="37"/>
      <c r="X4" s="38"/>
      <c r="Y4" s="33">
        <v>0.583333333333333</v>
      </c>
      <c r="Z4" s="32" t="s">
        <v>19</v>
      </c>
      <c r="AA4" s="38"/>
      <c r="AB4" s="39">
        <f>MOD((Y4-B4),1)</f>
        <v>0.333333333333333</v>
      </c>
      <c r="AC4" s="38"/>
      <c r="AD4" s="38"/>
      <c r="AE4" s="38"/>
      <c r="AF4" s="38" t="s">
        <v>23</v>
      </c>
      <c r="AG4" s="40"/>
    </row>
    <row r="5" s="3" customFormat="1" ht="18.95" customHeight="1" spans="1:65">
      <c r="A5" s="20">
        <v>3</v>
      </c>
      <c r="B5" s="21">
        <v>0.25</v>
      </c>
      <c r="C5" s="20" t="s">
        <v>24</v>
      </c>
      <c r="D5" s="41">
        <v>206</v>
      </c>
      <c r="E5" s="42">
        <v>0.259027777777778</v>
      </c>
      <c r="F5" s="43">
        <v>0.325138888888889</v>
      </c>
      <c r="G5" s="43">
        <f>MOD(F5-E5,1)</f>
        <v>0.066111111111111</v>
      </c>
      <c r="H5" s="26"/>
      <c r="I5" s="21">
        <f>M5-F5</f>
        <v>0.026736111111111</v>
      </c>
      <c r="J5" s="24"/>
      <c r="K5" s="44"/>
      <c r="L5" s="41">
        <v>215</v>
      </c>
      <c r="M5" s="43">
        <v>0.351875</v>
      </c>
      <c r="N5" s="43">
        <v>0.420625</v>
      </c>
      <c r="O5" s="43">
        <f>MOD(N5-M5,1)</f>
        <v>0.06875</v>
      </c>
      <c r="P5" s="44"/>
      <c r="Q5" s="21">
        <f>U5-N5</f>
        <v>0.026736111111111</v>
      </c>
      <c r="R5" s="24"/>
      <c r="S5" s="26"/>
      <c r="T5" s="41">
        <v>210</v>
      </c>
      <c r="U5" s="43">
        <v>0.447361111111111</v>
      </c>
      <c r="V5" s="43">
        <v>0.539722222222222</v>
      </c>
      <c r="W5" s="43">
        <f>MOD(V5-U5,1)</f>
        <v>0.092361111111111</v>
      </c>
      <c r="X5" s="41"/>
      <c r="Y5" s="21">
        <v>0.552083333333333</v>
      </c>
      <c r="Z5" s="20" t="s">
        <v>19</v>
      </c>
      <c r="AA5" s="22">
        <v>162</v>
      </c>
      <c r="AB5" s="27">
        <f>MOD(Y5-B5,1)</f>
        <v>0.302083333333333</v>
      </c>
      <c r="AC5" s="21">
        <f>G5+O5+W5</f>
        <v>0.227222222222222</v>
      </c>
      <c r="AD5" s="21">
        <f>I5+Q5</f>
        <v>0.053472222222222</v>
      </c>
      <c r="AE5" s="25"/>
      <c r="AF5" s="22" t="s">
        <v>25</v>
      </c>
      <c r="AG5" s="45"/>
    </row>
    <row r="6" s="4" customFormat="1" ht="18.95" customHeight="1" spans="1:65">
      <c r="A6" s="46">
        <v>4</v>
      </c>
      <c r="B6" s="33">
        <f>E6-TIME(0,15,0)</f>
        <v>0.25</v>
      </c>
      <c r="C6" s="32" t="s">
        <v>26</v>
      </c>
      <c r="D6" s="38">
        <v>213</v>
      </c>
      <c r="E6" s="47">
        <v>0.260416666666667</v>
      </c>
      <c r="F6" s="37">
        <v>0.336597222222222</v>
      </c>
      <c r="G6" s="37">
        <f>MOD(F6-E6,1)</f>
        <v>0.076180555555555</v>
      </c>
      <c r="H6" s="48"/>
      <c r="I6" s="33">
        <f>M6-F6</f>
        <v>0.022916666666667</v>
      </c>
      <c r="J6" s="38"/>
      <c r="K6" s="48"/>
      <c r="L6" s="38">
        <v>216</v>
      </c>
      <c r="M6" s="37">
        <v>0.359513888888889</v>
      </c>
      <c r="N6" s="37">
        <v>0.428263888888889</v>
      </c>
      <c r="O6" s="37">
        <f>MOD(N6-M6,1)</f>
        <v>0.06875</v>
      </c>
      <c r="P6" s="49"/>
      <c r="Q6" s="33">
        <f>U6-N6</f>
        <v>0.02673611111111</v>
      </c>
      <c r="R6" s="37"/>
      <c r="S6" s="48"/>
      <c r="T6" s="38">
        <v>211</v>
      </c>
      <c r="U6" s="37">
        <v>0.454999999999999</v>
      </c>
      <c r="V6" s="37">
        <v>0.486111111111111</v>
      </c>
      <c r="W6" s="37">
        <f>MOD(V6-U6,1)</f>
        <v>0.031111111111112</v>
      </c>
      <c r="X6" s="48" t="s">
        <v>27</v>
      </c>
      <c r="Y6" s="33">
        <v>0.520833333333333</v>
      </c>
      <c r="Z6" s="32" t="s">
        <v>28</v>
      </c>
      <c r="AA6" s="38">
        <v>95</v>
      </c>
      <c r="AB6" s="39">
        <f>MOD(Y6-B6,1)</f>
        <v>0.270833333333333</v>
      </c>
      <c r="AC6" s="33">
        <f>G6+O6+W6</f>
        <v>0.176041666666667</v>
      </c>
      <c r="AD6" s="33">
        <f>I6+Q6</f>
        <v>0.049652777777777</v>
      </c>
      <c r="AE6" s="37"/>
      <c r="AF6" s="32">
        <v>4</v>
      </c>
      <c r="AG6" s="28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</row>
    <row r="7" ht="18.95" customHeight="1" spans="1:65">
      <c r="A7" s="20">
        <v>5</v>
      </c>
      <c r="B7" s="21">
        <v>0.253472222222222</v>
      </c>
      <c r="C7" s="50" t="s">
        <v>29</v>
      </c>
      <c r="D7" s="41">
        <v>214</v>
      </c>
      <c r="E7" s="43">
        <v>0.260416666666667</v>
      </c>
      <c r="F7" s="43">
        <v>0.344236111111111</v>
      </c>
      <c r="G7" s="43">
        <f>MOD(F7-E7,1)</f>
        <v>0.083819444444444</v>
      </c>
      <c r="H7" s="41"/>
      <c r="I7" s="21">
        <f>M7-F7</f>
        <v>0.026736111111111</v>
      </c>
      <c r="J7" s="41"/>
      <c r="K7" s="41"/>
      <c r="L7" s="41">
        <v>201</v>
      </c>
      <c r="M7" s="43">
        <v>0.370972222222222</v>
      </c>
      <c r="N7" s="43">
        <v>0.462638888888888</v>
      </c>
      <c r="O7" s="43">
        <f>MOD(N7-M7,1)</f>
        <v>0.091666666666666</v>
      </c>
      <c r="P7" s="41"/>
      <c r="Q7" s="21">
        <f>U7-N7</f>
        <v>0.026736111111112</v>
      </c>
      <c r="R7" s="41"/>
      <c r="S7" s="41"/>
      <c r="T7" s="41">
        <v>215</v>
      </c>
      <c r="U7" s="43">
        <v>0.489375</v>
      </c>
      <c r="V7" s="43">
        <v>0.584166666666666</v>
      </c>
      <c r="W7" s="43">
        <f>MOD(V7-U7,1)</f>
        <v>0.0947916666666659</v>
      </c>
      <c r="X7" s="26"/>
      <c r="Y7" s="21">
        <v>0.586805555555556</v>
      </c>
      <c r="Z7" s="20" t="s">
        <v>19</v>
      </c>
      <c r="AA7" s="41">
        <v>181</v>
      </c>
      <c r="AB7" s="27">
        <f>MOD(Y7-B7,1)</f>
        <v>0.333333333333334</v>
      </c>
      <c r="AC7" s="21">
        <f>G7+O7+W7</f>
        <v>0.270277777777776</v>
      </c>
      <c r="AD7" s="21">
        <f>I7+Q7</f>
        <v>0.053472222222223</v>
      </c>
      <c r="AE7" s="43"/>
      <c r="AF7" s="41" t="s">
        <v>30</v>
      </c>
      <c r="AG7" s="28"/>
    </row>
    <row r="8" s="4" customFormat="1" ht="18.95" customHeight="1" spans="1:65">
      <c r="A8" s="32">
        <v>6</v>
      </c>
      <c r="B8" s="33">
        <v>0.253472222222222</v>
      </c>
      <c r="C8" s="32"/>
      <c r="D8" s="38">
        <v>211</v>
      </c>
      <c r="E8" s="37">
        <v>0.262638888888889</v>
      </c>
      <c r="F8" s="37">
        <v>0.363333333333333</v>
      </c>
      <c r="G8" s="37">
        <f>MOD(F8-E8,1)</f>
        <v>0.100694444444444</v>
      </c>
      <c r="H8" s="48"/>
      <c r="I8" s="33">
        <f>M8-F8</f>
        <v>0.026736111111111</v>
      </c>
      <c r="J8" s="38"/>
      <c r="K8" s="38"/>
      <c r="L8" s="38">
        <v>220</v>
      </c>
      <c r="M8" s="37">
        <v>0.390069444444444</v>
      </c>
      <c r="N8" s="37">
        <v>0.458819444444444</v>
      </c>
      <c r="O8" s="37">
        <f>MOD(N8-M8,1)</f>
        <v>0.06875</v>
      </c>
      <c r="P8" s="38"/>
      <c r="Q8" s="33">
        <f>U8-N8</f>
        <v>0.026736111111111</v>
      </c>
      <c r="R8" s="38"/>
      <c r="S8" s="48"/>
      <c r="T8" s="38">
        <v>212</v>
      </c>
      <c r="U8" s="37">
        <v>0.485555555555555</v>
      </c>
      <c r="V8" s="37">
        <v>0.578611111111111</v>
      </c>
      <c r="W8" s="37">
        <f>MOD(V8-U8,1)</f>
        <v>0.0930555555555559</v>
      </c>
      <c r="X8" s="48"/>
      <c r="Y8" s="33">
        <v>0.583333333333333</v>
      </c>
      <c r="Z8" s="32" t="s">
        <v>19</v>
      </c>
      <c r="AA8" s="38">
        <v>186</v>
      </c>
      <c r="AB8" s="39">
        <f>MOD(Y8-B8,1)</f>
        <v>0.329861111111111</v>
      </c>
      <c r="AC8" s="33">
        <f>G8+O8+W8</f>
        <v>0.2625</v>
      </c>
      <c r="AD8" s="33">
        <f>I8+Q8</f>
        <v>0.053472222222222</v>
      </c>
      <c r="AE8" s="37"/>
      <c r="AF8" s="32" t="s">
        <v>31</v>
      </c>
      <c r="AG8" s="45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</row>
    <row r="9" s="4" customFormat="1" ht="18.95" customHeight="1" spans="1:65">
      <c r="A9" s="20"/>
      <c r="B9" s="21"/>
      <c r="C9" s="20"/>
      <c r="D9" s="41"/>
      <c r="E9" s="43"/>
      <c r="F9" s="43"/>
      <c r="G9" s="43"/>
      <c r="H9" s="26"/>
      <c r="I9" s="21"/>
      <c r="J9" s="41"/>
      <c r="K9" s="41"/>
      <c r="L9" s="41"/>
      <c r="M9" s="43"/>
      <c r="N9" s="43"/>
      <c r="O9" s="43"/>
      <c r="P9" s="41"/>
      <c r="Q9" s="21"/>
      <c r="R9" s="41"/>
      <c r="S9" s="26"/>
      <c r="T9" s="41"/>
      <c r="U9" s="43"/>
      <c r="V9" s="43"/>
      <c r="W9" s="43"/>
      <c r="X9" s="26"/>
      <c r="Y9" s="21"/>
      <c r="Z9" s="20"/>
      <c r="AA9" s="41"/>
      <c r="AB9" s="27"/>
      <c r="AC9" s="21"/>
      <c r="AD9" s="21"/>
      <c r="AE9" s="43"/>
      <c r="AF9" s="20"/>
      <c r="AG9" s="45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</row>
    <row r="10" ht="18.95" customHeight="1" spans="1:65">
      <c r="A10" s="32">
        <v>7</v>
      </c>
      <c r="B10" s="33">
        <f>E10-TIME(0,15,0)</f>
        <v>0.256944444444444</v>
      </c>
      <c r="C10" s="32" t="s">
        <v>32</v>
      </c>
      <c r="D10" s="38">
        <v>208</v>
      </c>
      <c r="E10" s="47">
        <v>0.267361111111111</v>
      </c>
      <c r="F10" s="37">
        <v>0.340416666666667</v>
      </c>
      <c r="G10" s="37">
        <f>MOD(F10-E10,1)</f>
        <v>0.073055555555556</v>
      </c>
      <c r="H10" s="38"/>
      <c r="I10" s="33">
        <f>M10-F10</f>
        <v>0.026736111111111</v>
      </c>
      <c r="J10" s="38"/>
      <c r="K10" s="38"/>
      <c r="L10" s="38">
        <v>217</v>
      </c>
      <c r="M10" s="37">
        <v>0.367152777777778</v>
      </c>
      <c r="N10" s="37">
        <v>0.435902777777777</v>
      </c>
      <c r="O10" s="37">
        <f>MOD(N10-M10,1)</f>
        <v>0.068749999999999</v>
      </c>
      <c r="P10" s="38"/>
      <c r="Q10" s="33">
        <f>U10-N10</f>
        <v>0.026736111111111</v>
      </c>
      <c r="R10" s="37"/>
      <c r="S10" s="38"/>
      <c r="T10" s="38">
        <v>201</v>
      </c>
      <c r="U10" s="37">
        <v>0.462638888888888</v>
      </c>
      <c r="V10" s="37">
        <v>0.556388888888889</v>
      </c>
      <c r="W10" s="37">
        <f>MOD(V10-U10,1)</f>
        <v>0.0937500000000011</v>
      </c>
      <c r="X10" s="48"/>
      <c r="Y10" s="33">
        <v>0.5625</v>
      </c>
      <c r="Z10" s="32" t="s">
        <v>19</v>
      </c>
      <c r="AA10" s="48">
        <v>173</v>
      </c>
      <c r="AB10" s="39">
        <f>MOD(Y10-B10,1)</f>
        <v>0.305555555555556</v>
      </c>
      <c r="AC10" s="33">
        <f>G10+O10+W10</f>
        <v>0.235555555555556</v>
      </c>
      <c r="AD10" s="33">
        <f>I10+Q10</f>
        <v>0.053472222222222</v>
      </c>
      <c r="AE10" s="37"/>
      <c r="AF10" s="48" t="s">
        <v>33</v>
      </c>
      <c r="AG10" s="45"/>
    </row>
    <row r="11" s="5" customFormat="1" ht="18.95" customHeight="1" spans="1:65">
      <c r="A11" s="20">
        <v>8</v>
      </c>
      <c r="B11" s="21">
        <v>0.256944444444444</v>
      </c>
      <c r="C11" s="20" t="s">
        <v>24</v>
      </c>
      <c r="D11" s="41">
        <v>207</v>
      </c>
      <c r="E11" s="42">
        <v>0.269444444444444</v>
      </c>
      <c r="F11" s="43">
        <v>0.332777777777778</v>
      </c>
      <c r="G11" s="43">
        <f>MOD(F11-E11,1)</f>
        <v>0.063333333333334</v>
      </c>
      <c r="H11" s="41"/>
      <c r="I11" s="21">
        <f>M11-F11</f>
        <v>0.022916666666666</v>
      </c>
      <c r="J11" s="41"/>
      <c r="K11" s="44"/>
      <c r="L11" s="41">
        <v>210</v>
      </c>
      <c r="M11" s="43">
        <v>0.355694444444444</v>
      </c>
      <c r="N11" s="43">
        <v>0.447361111111111</v>
      </c>
      <c r="O11" s="43">
        <f>MOD(N11-M11,1)</f>
        <v>0.091666666666667</v>
      </c>
      <c r="P11" s="44"/>
      <c r="Q11" s="21">
        <f>U11-N11</f>
        <v>0.026736111111111</v>
      </c>
      <c r="R11" s="43"/>
      <c r="S11" s="41"/>
      <c r="T11" s="41">
        <v>213</v>
      </c>
      <c r="U11" s="43">
        <v>0.474097222222222</v>
      </c>
      <c r="V11" s="43">
        <v>0.5675</v>
      </c>
      <c r="W11" s="43">
        <f>MOD(V11-U11,1)</f>
        <v>0.093402777777778</v>
      </c>
      <c r="X11" s="26"/>
      <c r="Y11" s="21">
        <v>0.572916666666667</v>
      </c>
      <c r="Z11" s="20" t="s">
        <v>19</v>
      </c>
      <c r="AA11" s="26">
        <v>180</v>
      </c>
      <c r="AB11" s="27">
        <f>MOD(Y11-B11,1)</f>
        <v>0.315972222222223</v>
      </c>
      <c r="AC11" s="21">
        <f>G11+O11+W11</f>
        <v>0.248402777777779</v>
      </c>
      <c r="AD11" s="21">
        <f>I11+Q11</f>
        <v>0.049652777777777</v>
      </c>
      <c r="AE11" s="43"/>
      <c r="AF11" s="26" t="s">
        <v>34</v>
      </c>
      <c r="AG11" s="40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ht="18.95" customHeight="1" spans="1:65">
      <c r="A12" s="32">
        <v>9</v>
      </c>
      <c r="B12" s="33">
        <v>0.263888888888889</v>
      </c>
      <c r="C12" s="51" t="s">
        <v>29</v>
      </c>
      <c r="D12" s="38">
        <v>215</v>
      </c>
      <c r="E12" s="37">
        <v>0.270833333333333</v>
      </c>
      <c r="F12" s="37">
        <v>0.351875</v>
      </c>
      <c r="G12" s="37">
        <f>MOD(F12-E12,1)</f>
        <v>0.081041666666667</v>
      </c>
      <c r="H12" s="38"/>
      <c r="I12" s="33">
        <f>M12-F12</f>
        <v>0.026736111111111</v>
      </c>
      <c r="J12" s="38"/>
      <c r="K12" s="38"/>
      <c r="L12" s="38">
        <v>202</v>
      </c>
      <c r="M12" s="37">
        <v>0.378611111111111</v>
      </c>
      <c r="N12" s="37">
        <v>0.470277777777777</v>
      </c>
      <c r="O12" s="37">
        <f>MOD(N12-M12,1)</f>
        <v>0.091666666666666</v>
      </c>
      <c r="P12" s="38"/>
      <c r="Q12" s="33">
        <f>U12-N12</f>
        <v>0.026736111111111</v>
      </c>
      <c r="R12" s="38"/>
      <c r="S12" s="38"/>
      <c r="T12" s="38">
        <v>216</v>
      </c>
      <c r="U12" s="37">
        <v>0.497013888888888</v>
      </c>
      <c r="V12" s="37">
        <v>0.595277777777777</v>
      </c>
      <c r="W12" s="37">
        <f>MOD(V12-U12,1)</f>
        <v>0.098263888888889</v>
      </c>
      <c r="X12" s="48"/>
      <c r="Y12" s="33">
        <v>0.597222222222222</v>
      </c>
      <c r="Z12" s="32" t="s">
        <v>19</v>
      </c>
      <c r="AA12" s="38">
        <v>181</v>
      </c>
      <c r="AB12" s="39">
        <f>MOD(Y12-B12,1)</f>
        <v>0.333333333333333</v>
      </c>
      <c r="AC12" s="33">
        <f>G12+O12+W12</f>
        <v>0.270972222222222</v>
      </c>
      <c r="AD12" s="33">
        <f>I12+Q12</f>
        <v>0.053472222222222</v>
      </c>
      <c r="AE12" s="37"/>
      <c r="AF12" s="32" t="s">
        <v>35</v>
      </c>
      <c r="AG12" s="40"/>
    </row>
    <row r="13" ht="18.95" customHeight="1" spans="1:65">
      <c r="A13" s="20">
        <v>10</v>
      </c>
      <c r="B13" s="21">
        <v>0.263888888888889</v>
      </c>
      <c r="C13" s="20"/>
      <c r="D13" s="41">
        <v>201</v>
      </c>
      <c r="E13" s="43">
        <v>0.273055555555556</v>
      </c>
      <c r="F13" s="43">
        <v>0.370972222222222</v>
      </c>
      <c r="G13" s="43">
        <f>MOD(F13-E13,1)</f>
        <v>0.097916666666666</v>
      </c>
      <c r="H13" s="41"/>
      <c r="I13" s="21">
        <f>M13-F13</f>
        <v>0.026736111111111</v>
      </c>
      <c r="J13" s="52"/>
      <c r="K13" s="52"/>
      <c r="L13" s="41">
        <v>221</v>
      </c>
      <c r="M13" s="43">
        <v>0.397708333333333</v>
      </c>
      <c r="N13" s="43">
        <v>0.466458333333333</v>
      </c>
      <c r="O13" s="43">
        <f>MOD(N13-M13,1)</f>
        <v>0.06875</v>
      </c>
      <c r="P13" s="41"/>
      <c r="Q13" s="21">
        <f>U13-N13</f>
        <v>0.026736111111111</v>
      </c>
      <c r="R13" s="52"/>
      <c r="S13" s="41"/>
      <c r="T13" s="41">
        <v>204</v>
      </c>
      <c r="U13" s="43">
        <v>0.493194444444444</v>
      </c>
      <c r="V13" s="43">
        <v>0.589722222222222</v>
      </c>
      <c r="W13" s="43">
        <f>MOD(V13-U13,1)</f>
        <v>0.096527777777778</v>
      </c>
      <c r="X13" s="26"/>
      <c r="Y13" s="21">
        <v>0.59375</v>
      </c>
      <c r="Z13" s="20" t="s">
        <v>19</v>
      </c>
      <c r="AA13" s="41">
        <v>186</v>
      </c>
      <c r="AB13" s="27">
        <f>MOD(Y13-B13,1)</f>
        <v>0.329861111111111</v>
      </c>
      <c r="AC13" s="21">
        <f>G13+O13+W13</f>
        <v>0.263194444444444</v>
      </c>
      <c r="AD13" s="21">
        <f>I13+Q13</f>
        <v>0.053472222222222</v>
      </c>
      <c r="AE13" s="43"/>
      <c r="AF13" s="20" t="s">
        <v>36</v>
      </c>
      <c r="AG13" s="40"/>
    </row>
    <row r="14" s="4" customFormat="1" ht="18.95" customHeight="1" spans="1:65">
      <c r="A14" s="32">
        <v>11</v>
      </c>
      <c r="B14" s="33">
        <f>E14-TIME(0,15,0)</f>
        <v>0.263888888888889</v>
      </c>
      <c r="C14" s="32" t="s">
        <v>37</v>
      </c>
      <c r="D14" s="38">
        <v>217</v>
      </c>
      <c r="E14" s="37">
        <v>0.274305555555556</v>
      </c>
      <c r="F14" s="37">
        <v>0.367152777777778</v>
      </c>
      <c r="G14" s="37">
        <f>MOD(F14-E14,1)</f>
        <v>0.092847222222222</v>
      </c>
      <c r="H14" s="48"/>
      <c r="I14" s="33">
        <f>M14-F14</f>
        <v>0.026736111111111</v>
      </c>
      <c r="J14" s="38"/>
      <c r="K14" s="38"/>
      <c r="L14" s="38">
        <v>212</v>
      </c>
      <c r="M14" s="37">
        <v>0.393888888888889</v>
      </c>
      <c r="N14" s="37">
        <v>0.485555555555555</v>
      </c>
      <c r="O14" s="37">
        <f>MOD(N14-M14,1)</f>
        <v>0.091666666666666</v>
      </c>
      <c r="P14" s="53"/>
      <c r="Q14" s="33">
        <f>U14-N14</f>
        <v>0.0361111111111119</v>
      </c>
      <c r="R14" s="38"/>
      <c r="S14" s="48"/>
      <c r="T14" s="38">
        <v>208</v>
      </c>
      <c r="U14" s="37">
        <v>0.521666666666667</v>
      </c>
      <c r="V14" s="47">
        <v>0.546527777777778</v>
      </c>
      <c r="W14" s="37">
        <f>MOD(V14-U14,1)</f>
        <v>0.024861111111111</v>
      </c>
      <c r="X14" s="48" t="s">
        <v>32</v>
      </c>
      <c r="Y14" s="33">
        <v>0.555555555555556</v>
      </c>
      <c r="Z14" s="32" t="s">
        <v>19</v>
      </c>
      <c r="AA14" s="38">
        <v>126</v>
      </c>
      <c r="AB14" s="39">
        <f>MOD(Y14-B14,1)</f>
        <v>0.291666666666667</v>
      </c>
      <c r="AC14" s="33">
        <f>G14+O14+W14</f>
        <v>0.209374999999999</v>
      </c>
      <c r="AD14" s="33">
        <f>I14+Q14</f>
        <v>0.0628472222222229</v>
      </c>
      <c r="AE14" s="37"/>
      <c r="AF14" s="38">
        <v>11</v>
      </c>
      <c r="AG14" s="45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</row>
    <row r="15" ht="18.95" customHeight="1" spans="1:65">
      <c r="A15" s="20">
        <v>12</v>
      </c>
      <c r="B15" s="21">
        <v>0.263888888888889</v>
      </c>
      <c r="C15" s="20" t="s">
        <v>32</v>
      </c>
      <c r="D15" s="41">
        <v>209</v>
      </c>
      <c r="E15" s="42">
        <v>0.275</v>
      </c>
      <c r="F15" s="43">
        <v>0.348055555555556</v>
      </c>
      <c r="G15" s="43">
        <f>MOD(F15-E15,1)</f>
        <v>0.073055555555556</v>
      </c>
      <c r="H15" s="41"/>
      <c r="I15" s="21">
        <f>M15-F15</f>
        <v>0.026736111111111</v>
      </c>
      <c r="J15" s="41"/>
      <c r="K15" s="41"/>
      <c r="L15" s="41">
        <v>218</v>
      </c>
      <c r="M15" s="43">
        <v>0.374791666666667</v>
      </c>
      <c r="N15" s="43">
        <v>0.443541666666666</v>
      </c>
      <c r="O15" s="43">
        <f>MOD(N15-M15,1)</f>
        <v>0.068749999999999</v>
      </c>
      <c r="P15" s="41"/>
      <c r="Q15" s="21">
        <f>U15-N15</f>
        <v>0.026736111111111</v>
      </c>
      <c r="R15" s="41"/>
      <c r="S15" s="41"/>
      <c r="T15" s="41">
        <v>202</v>
      </c>
      <c r="U15" s="43">
        <v>0.470277777777777</v>
      </c>
      <c r="V15" s="43">
        <v>0.561944444444444</v>
      </c>
      <c r="W15" s="43">
        <f>MOD(V15-U15,1)</f>
        <v>0.091666666666667</v>
      </c>
      <c r="X15" s="26"/>
      <c r="Y15" s="54">
        <v>0.569444444444444</v>
      </c>
      <c r="Z15" s="20" t="s">
        <v>19</v>
      </c>
      <c r="AA15" s="41">
        <v>173</v>
      </c>
      <c r="AB15" s="27">
        <f>MOD(Y15-B15,1)</f>
        <v>0.305555555555555</v>
      </c>
      <c r="AC15" s="21">
        <f>G15+O15+W15</f>
        <v>0.233472222222222</v>
      </c>
      <c r="AD15" s="21">
        <f>I15+Q15</f>
        <v>0.053472222222222</v>
      </c>
      <c r="AE15" s="43"/>
      <c r="AF15" s="41" t="s">
        <v>38</v>
      </c>
      <c r="AG15" s="40"/>
    </row>
    <row r="16" s="4" customFormat="1" ht="18.95" customHeight="1" spans="1:65">
      <c r="A16" s="32">
        <v>13</v>
      </c>
      <c r="B16" s="33">
        <v>0.274305555555556</v>
      </c>
      <c r="C16" s="51" t="s">
        <v>29</v>
      </c>
      <c r="D16" s="38">
        <v>216</v>
      </c>
      <c r="E16" s="37">
        <v>0.28125</v>
      </c>
      <c r="F16" s="37">
        <v>0.359513888888889</v>
      </c>
      <c r="G16" s="37">
        <f>MOD(F16-E16,1)</f>
        <v>0.078263888888889</v>
      </c>
      <c r="H16" s="38"/>
      <c r="I16" s="33">
        <f>M16-F16</f>
        <v>0.026736111111111</v>
      </c>
      <c r="J16" s="49"/>
      <c r="K16" s="49"/>
      <c r="L16" s="38">
        <v>203</v>
      </c>
      <c r="M16" s="37">
        <v>0.38625</v>
      </c>
      <c r="N16" s="37">
        <v>0.477916666666666</v>
      </c>
      <c r="O16" s="37">
        <f>MOD(N16-M16,1)</f>
        <v>0.091666666666666</v>
      </c>
      <c r="P16" s="38"/>
      <c r="Q16" s="33">
        <f>U16-N16</f>
        <v>0.029861111111111</v>
      </c>
      <c r="R16" s="49"/>
      <c r="S16" s="38"/>
      <c r="T16" s="38">
        <v>206</v>
      </c>
      <c r="U16" s="37">
        <v>0.507777777777777</v>
      </c>
      <c r="V16" s="37">
        <v>0.606388888888888</v>
      </c>
      <c r="W16" s="37">
        <f>MOD(V16-U16,1)</f>
        <v>0.098611111111111</v>
      </c>
      <c r="X16" s="48"/>
      <c r="Y16" s="55">
        <v>0.607638888888889</v>
      </c>
      <c r="Z16" s="32" t="s">
        <v>19</v>
      </c>
      <c r="AA16" s="38">
        <v>181</v>
      </c>
      <c r="AB16" s="39">
        <f>MOD(Y16-B16,1)</f>
        <v>0.333333333333333</v>
      </c>
      <c r="AC16" s="33">
        <f>G16+O16+W16</f>
        <v>0.268541666666666</v>
      </c>
      <c r="AD16" s="33">
        <f>I16+Q16</f>
        <v>0.056597222222222</v>
      </c>
      <c r="AE16" s="37"/>
      <c r="AF16" s="38" t="s">
        <v>39</v>
      </c>
      <c r="AG16" s="4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</row>
    <row r="17" s="4" customFormat="1" ht="18.95" customHeight="1" spans="1:65">
      <c r="A17" s="20"/>
      <c r="B17" s="21"/>
      <c r="C17" s="20"/>
      <c r="D17" s="41"/>
      <c r="E17" s="43"/>
      <c r="F17" s="43"/>
      <c r="G17" s="43"/>
      <c r="H17" s="41"/>
      <c r="I17" s="21"/>
      <c r="J17" s="44"/>
      <c r="K17" s="44"/>
      <c r="L17" s="41"/>
      <c r="M17" s="43"/>
      <c r="N17" s="43"/>
      <c r="O17" s="43"/>
      <c r="P17" s="41"/>
      <c r="Q17" s="21"/>
      <c r="R17" s="44"/>
      <c r="S17" s="41"/>
      <c r="T17" s="41"/>
      <c r="U17" s="43"/>
      <c r="V17" s="43"/>
      <c r="W17" s="43"/>
      <c r="X17" s="26"/>
      <c r="Y17" s="54"/>
      <c r="Z17" s="20"/>
      <c r="AA17" s="41"/>
      <c r="AB17" s="27"/>
      <c r="AC17" s="21"/>
      <c r="AD17" s="21"/>
      <c r="AE17" s="43"/>
      <c r="AF17" s="41"/>
      <c r="AG17" s="4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</row>
    <row r="18" ht="18.95" customHeight="1" spans="1:65">
      <c r="A18" s="32">
        <v>14</v>
      </c>
      <c r="B18" s="33">
        <f>E18-TIME(0,15,0)</f>
        <v>0.270833333333333</v>
      </c>
      <c r="C18" s="32" t="s">
        <v>37</v>
      </c>
      <c r="D18" s="38">
        <v>218</v>
      </c>
      <c r="E18" s="37">
        <v>0.28125</v>
      </c>
      <c r="F18" s="37">
        <v>0.374791666666667</v>
      </c>
      <c r="G18" s="37">
        <f>MOD(F18-E18,1)</f>
        <v>0.093541666666667</v>
      </c>
      <c r="H18" s="38"/>
      <c r="I18" s="33">
        <f>M18-F18</f>
        <v>0.02673611111111</v>
      </c>
      <c r="J18" s="38"/>
      <c r="K18" s="38"/>
      <c r="L18" s="38">
        <v>204</v>
      </c>
      <c r="M18" s="37">
        <v>0.401527777777777</v>
      </c>
      <c r="N18" s="37">
        <v>0.493194444444444</v>
      </c>
      <c r="O18" s="37">
        <f>MOD(N18-M18,1)</f>
        <v>0.091666666666667</v>
      </c>
      <c r="P18" s="38"/>
      <c r="Q18" s="33">
        <f>U18-N18</f>
        <v>0.040972222222222</v>
      </c>
      <c r="R18" s="37"/>
      <c r="S18" s="38"/>
      <c r="T18" s="38">
        <v>209</v>
      </c>
      <c r="U18" s="37">
        <v>0.534166666666666</v>
      </c>
      <c r="V18" s="47">
        <v>0.570138888888889</v>
      </c>
      <c r="W18" s="37">
        <f>MOD(V18-U18,1)</f>
        <v>0.035972222222223</v>
      </c>
      <c r="X18" s="48" t="s">
        <v>24</v>
      </c>
      <c r="Y18" s="33">
        <v>0.576388888888889</v>
      </c>
      <c r="Z18" s="32" t="s">
        <v>40</v>
      </c>
      <c r="AA18" s="38">
        <v>137</v>
      </c>
      <c r="AB18" s="39">
        <f>MOD(Y18-B18,1)</f>
        <v>0.305555555555556</v>
      </c>
      <c r="AC18" s="33">
        <f>G18+O18+W18</f>
        <v>0.221180555555557</v>
      </c>
      <c r="AD18" s="33">
        <f>I18+Q18</f>
        <v>0.067708333333332</v>
      </c>
      <c r="AE18" s="37"/>
      <c r="AF18" s="32">
        <v>14</v>
      </c>
      <c r="AG18" s="28"/>
    </row>
    <row r="19" ht="18.95" customHeight="1" spans="1:65">
      <c r="A19" s="46">
        <v>15</v>
      </c>
      <c r="B19" s="21">
        <v>0.270833333333333</v>
      </c>
      <c r="C19" s="20" t="s">
        <v>32</v>
      </c>
      <c r="D19" s="41">
        <v>210</v>
      </c>
      <c r="E19" s="42">
        <v>0.282638888888889</v>
      </c>
      <c r="F19" s="43">
        <v>0.355694444444444</v>
      </c>
      <c r="G19" s="43">
        <f>MOD(F19-E19,1)</f>
        <v>0.073055555555555</v>
      </c>
      <c r="H19" s="41"/>
      <c r="I19" s="21">
        <f>M19-F19</f>
        <v>0.026736111111111</v>
      </c>
      <c r="J19" s="41"/>
      <c r="K19" s="41"/>
      <c r="L19" s="41">
        <v>219</v>
      </c>
      <c r="M19" s="43">
        <v>0.382430555555555</v>
      </c>
      <c r="N19" s="43">
        <v>0.451180555555555</v>
      </c>
      <c r="O19" s="43">
        <f>MOD(N19-M19,1)</f>
        <v>0.06875</v>
      </c>
      <c r="P19" s="41"/>
      <c r="Q19" s="21">
        <f>U19-N19</f>
        <v>0.026736111111111</v>
      </c>
      <c r="R19" s="41"/>
      <c r="S19" s="41"/>
      <c r="T19" s="41">
        <v>203</v>
      </c>
      <c r="U19" s="43">
        <v>0.477916666666666</v>
      </c>
      <c r="V19" s="43">
        <v>0.506944444444444</v>
      </c>
      <c r="W19" s="43">
        <f>MOD(V19-U19,1)</f>
        <v>0.029027777777778</v>
      </c>
      <c r="X19" s="26" t="s">
        <v>27</v>
      </c>
      <c r="Y19" s="21">
        <v>0.520833333333333</v>
      </c>
      <c r="Z19" s="20" t="s">
        <v>28</v>
      </c>
      <c r="AA19" s="41">
        <v>107</v>
      </c>
      <c r="AB19" s="27">
        <f>MOD(Y19-B19,1)</f>
        <v>0.25</v>
      </c>
      <c r="AC19" s="21">
        <f>G19+O19+W19</f>
        <v>0.170833333333333</v>
      </c>
      <c r="AD19" s="21">
        <f>I19+Q19</f>
        <v>0.053472222222222</v>
      </c>
      <c r="AE19" s="43"/>
      <c r="AF19" s="41">
        <v>15</v>
      </c>
      <c r="AG19" s="28"/>
    </row>
    <row r="20" s="4" customFormat="1" ht="18.95" customHeight="1" spans="1:65">
      <c r="A20" s="32">
        <v>16</v>
      </c>
      <c r="B20" s="33">
        <v>0.274305555555556</v>
      </c>
      <c r="C20" s="32"/>
      <c r="D20" s="38">
        <v>202</v>
      </c>
      <c r="E20" s="37">
        <v>0.283472222222222</v>
      </c>
      <c r="F20" s="37">
        <v>0.378611111111111</v>
      </c>
      <c r="G20" s="37">
        <f>MOD(F20-E20,1)</f>
        <v>0.095138888888889</v>
      </c>
      <c r="H20" s="38"/>
      <c r="I20" s="33">
        <f>M20-F20</f>
        <v>0.026736111111111</v>
      </c>
      <c r="J20" s="38"/>
      <c r="K20" s="38"/>
      <c r="L20" s="38">
        <v>213</v>
      </c>
      <c r="M20" s="37">
        <v>0.405347222222222</v>
      </c>
      <c r="N20" s="37">
        <v>0.474097222222222</v>
      </c>
      <c r="O20" s="37">
        <f>MOD(N20-M20,1)</f>
        <v>0.06875</v>
      </c>
      <c r="P20" s="49"/>
      <c r="Q20" s="33">
        <f>U20-N20</f>
        <v>0.026736111111111</v>
      </c>
      <c r="R20" s="38"/>
      <c r="S20" s="38"/>
      <c r="T20" s="38">
        <v>205</v>
      </c>
      <c r="U20" s="37">
        <v>0.500833333333333</v>
      </c>
      <c r="V20" s="37">
        <v>0.600833333333333</v>
      </c>
      <c r="W20" s="37">
        <f>MOD(V20-U20,1)</f>
        <v>0.1</v>
      </c>
      <c r="X20" s="48"/>
      <c r="Y20" s="33">
        <v>0.604166666666667</v>
      </c>
      <c r="Z20" s="32" t="s">
        <v>19</v>
      </c>
      <c r="AA20" s="38">
        <v>186</v>
      </c>
      <c r="AB20" s="39">
        <f>MOD(Y20-B20,1)</f>
        <v>0.329861111111111</v>
      </c>
      <c r="AC20" s="33">
        <f>G20+O20+W20</f>
        <v>0.263888888888889</v>
      </c>
      <c r="AD20" s="33">
        <f>I20+Q20</f>
        <v>0.053472222222222</v>
      </c>
      <c r="AE20" s="37"/>
      <c r="AF20" s="38" t="s">
        <v>41</v>
      </c>
      <c r="AG20" s="4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</row>
    <row r="21" ht="18.95" customHeight="1" spans="1:65">
      <c r="A21" s="20">
        <v>17</v>
      </c>
      <c r="B21" s="21">
        <f>E21-TIME(0,15,0)</f>
        <v>0.277777777777777</v>
      </c>
      <c r="C21" s="20" t="s">
        <v>42</v>
      </c>
      <c r="D21" s="41">
        <v>205</v>
      </c>
      <c r="E21" s="43">
        <v>0.288194444444444</v>
      </c>
      <c r="F21" s="42">
        <v>0.3375</v>
      </c>
      <c r="G21" s="43">
        <f>MOD(F21-E21,1)</f>
        <v>0.049305555555556</v>
      </c>
      <c r="H21" s="41" t="s">
        <v>32</v>
      </c>
      <c r="I21" s="21">
        <f>M21-F21</f>
        <v>0.025833333333333</v>
      </c>
      <c r="J21" s="24"/>
      <c r="K21" s="43"/>
      <c r="L21" s="41">
        <v>211</v>
      </c>
      <c r="M21" s="43">
        <v>0.363333333333333</v>
      </c>
      <c r="N21" s="43">
        <v>0.454999999999999</v>
      </c>
      <c r="O21" s="43">
        <f>MOD(N21-M21,1)</f>
        <v>0.091666666666666</v>
      </c>
      <c r="P21" s="24"/>
      <c r="Q21" s="21">
        <f>U21-N21</f>
        <v>0.026736111111112</v>
      </c>
      <c r="R21" s="24"/>
      <c r="S21" s="41"/>
      <c r="T21" s="41">
        <v>214</v>
      </c>
      <c r="U21" s="43">
        <v>0.481736111111111</v>
      </c>
      <c r="V21" s="43">
        <v>0.573055555555555</v>
      </c>
      <c r="W21" s="43">
        <f>MOD(V21-U21,1)</f>
        <v>0.091319444444444</v>
      </c>
      <c r="X21" s="26"/>
      <c r="Y21" s="54">
        <v>0.576388888888889</v>
      </c>
      <c r="Z21" s="20" t="s">
        <v>19</v>
      </c>
      <c r="AA21" s="41">
        <v>167</v>
      </c>
      <c r="AB21" s="27">
        <f>MOD(Y21-B21,1)</f>
        <v>0.298611111111112</v>
      </c>
      <c r="AC21" s="21">
        <f>G21+O21+W21</f>
        <v>0.232291666666666</v>
      </c>
      <c r="AD21" s="21">
        <f>I21+Q21</f>
        <v>0.0525694444444449</v>
      </c>
      <c r="AE21" s="43"/>
      <c r="AF21" s="26" t="s">
        <v>43</v>
      </c>
      <c r="AG21" s="40"/>
    </row>
    <row r="22" s="4" customFormat="1" ht="18.95" customHeight="1" spans="1:65">
      <c r="A22" s="32">
        <v>18</v>
      </c>
      <c r="B22" s="33">
        <f>E22-TIME(0,15,0)</f>
        <v>0.28125</v>
      </c>
      <c r="C22" s="32" t="s">
        <v>37</v>
      </c>
      <c r="D22" s="38">
        <v>219</v>
      </c>
      <c r="E22" s="37">
        <v>0.291666666666667</v>
      </c>
      <c r="F22" s="37">
        <v>0.382430555555555</v>
      </c>
      <c r="G22" s="37">
        <f>MOD(F22-E22,1)</f>
        <v>0.090763888888888</v>
      </c>
      <c r="H22" s="38"/>
      <c r="I22" s="33">
        <f>M22-F22</f>
        <v>0.026736111111111</v>
      </c>
      <c r="J22" s="49"/>
      <c r="K22" s="49"/>
      <c r="L22" s="38">
        <v>205</v>
      </c>
      <c r="M22" s="37">
        <v>0.409166666666666</v>
      </c>
      <c r="N22" s="37">
        <v>0.500833333333333</v>
      </c>
      <c r="O22" s="37">
        <f>MOD(N22-M22,1)</f>
        <v>0.091666666666667</v>
      </c>
      <c r="P22" s="56" t="s">
        <v>44</v>
      </c>
      <c r="Q22" s="33">
        <f>U22-N22</f>
        <v>0.0499999999999999</v>
      </c>
      <c r="R22" s="49"/>
      <c r="S22" s="38"/>
      <c r="T22" s="38">
        <v>220</v>
      </c>
      <c r="U22" s="37">
        <v>0.550833333333333</v>
      </c>
      <c r="V22" s="47">
        <v>0.600694444444444</v>
      </c>
      <c r="W22" s="37">
        <f>MOD(V22-U22,1)</f>
        <v>0.049861111111111</v>
      </c>
      <c r="X22" s="48" t="s">
        <v>45</v>
      </c>
      <c r="Y22" s="55">
        <v>0.604166666666667</v>
      </c>
      <c r="Z22" s="32" t="s">
        <v>46</v>
      </c>
      <c r="AA22" s="38">
        <v>147</v>
      </c>
      <c r="AB22" s="39">
        <f>MOD(Y22-B22,1)</f>
        <v>0.322916666666667</v>
      </c>
      <c r="AC22" s="33">
        <f>G22+O22+W22</f>
        <v>0.232291666666666</v>
      </c>
      <c r="AD22" s="33">
        <f>I22+Q22</f>
        <v>0.0767361111111109</v>
      </c>
      <c r="AE22" s="37"/>
      <c r="AF22" s="48">
        <v>18</v>
      </c>
      <c r="AG22" s="4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</row>
    <row r="23" ht="18.95" customHeight="1" spans="1:65">
      <c r="A23" s="20">
        <v>19</v>
      </c>
      <c r="B23" s="21">
        <v>0.28125</v>
      </c>
      <c r="C23" s="20"/>
      <c r="D23" s="41">
        <v>203</v>
      </c>
      <c r="E23" s="43">
        <v>0.293888888888889</v>
      </c>
      <c r="F23" s="43">
        <v>0.38625</v>
      </c>
      <c r="G23" s="43">
        <f>MOD(F23-E23,1)</f>
        <v>0.092361111111111</v>
      </c>
      <c r="H23" s="41"/>
      <c r="I23" s="21">
        <f>M23-F23</f>
        <v>0.026736111111111</v>
      </c>
      <c r="J23" s="41"/>
      <c r="K23" s="41"/>
      <c r="L23" s="41">
        <v>214</v>
      </c>
      <c r="M23" s="43">
        <v>0.412986111111111</v>
      </c>
      <c r="N23" s="43">
        <v>0.481736111111111</v>
      </c>
      <c r="O23" s="43">
        <f>MOD(N23-M23,1)</f>
        <v>0.06875</v>
      </c>
      <c r="P23" s="41"/>
      <c r="Q23" s="21">
        <f>U23-N23</f>
        <v>0.03298611111111</v>
      </c>
      <c r="R23" s="41"/>
      <c r="S23" s="41"/>
      <c r="T23" s="41">
        <v>207</v>
      </c>
      <c r="U23" s="43">
        <v>0.514722222222221</v>
      </c>
      <c r="V23" s="43">
        <v>0.611944444444444</v>
      </c>
      <c r="W23" s="43">
        <f>MOD(V23-U23,1)</f>
        <v>0.097222222222223</v>
      </c>
      <c r="X23" s="26"/>
      <c r="Y23" s="21">
        <v>0.614583333333333</v>
      </c>
      <c r="Z23" s="20" t="s">
        <v>19</v>
      </c>
      <c r="AA23" s="41">
        <v>186</v>
      </c>
      <c r="AB23" s="27">
        <f>MOD(Y23-B23,1)</f>
        <v>0.333333333333333</v>
      </c>
      <c r="AC23" s="21">
        <f>G23+O23+W23</f>
        <v>0.258333333333334</v>
      </c>
      <c r="AD23" s="21">
        <f>I23+Q23</f>
        <v>0.059722222222221</v>
      </c>
      <c r="AE23" s="43"/>
      <c r="AF23" s="41" t="s">
        <v>47</v>
      </c>
      <c r="AG23" s="40"/>
    </row>
    <row r="24" s="4" customFormat="1" ht="18.95" customHeight="1" spans="1:65">
      <c r="A24" s="32">
        <v>20</v>
      </c>
      <c r="B24" s="33">
        <f>E24-TIME(0,15,0)</f>
        <v>0.288194444444444</v>
      </c>
      <c r="C24" s="32" t="s">
        <v>37</v>
      </c>
      <c r="D24" s="38">
        <v>220</v>
      </c>
      <c r="E24" s="37">
        <v>0.298611111111111</v>
      </c>
      <c r="F24" s="37">
        <v>0.390069444444444</v>
      </c>
      <c r="G24" s="37">
        <f>MOD(F24-E24,1)</f>
        <v>0.091458333333333</v>
      </c>
      <c r="H24" s="38"/>
      <c r="I24" s="33">
        <f>M24-F24</f>
        <v>0.026736111111111</v>
      </c>
      <c r="J24" s="38"/>
      <c r="K24" s="38"/>
      <c r="L24" s="38">
        <v>206</v>
      </c>
      <c r="M24" s="37">
        <v>0.416805555555555</v>
      </c>
      <c r="N24" s="37">
        <v>0.507777777777777</v>
      </c>
      <c r="O24" s="37">
        <f>MOD(N24-M24,1)</f>
        <v>0.090972222222222</v>
      </c>
      <c r="P24" s="56" t="s">
        <v>44</v>
      </c>
      <c r="Q24" s="33">
        <f>U24-N24</f>
        <v>0.048611111111112</v>
      </c>
      <c r="R24" s="38"/>
      <c r="S24" s="38"/>
      <c r="T24" s="38">
        <v>201</v>
      </c>
      <c r="U24" s="37">
        <v>0.556388888888889</v>
      </c>
      <c r="V24" s="47">
        <v>0.579861111111111</v>
      </c>
      <c r="W24" s="37">
        <f>MOD(V24-U24,1)</f>
        <v>0.023472222222222</v>
      </c>
      <c r="X24" s="48" t="s">
        <v>32</v>
      </c>
      <c r="Y24" s="33">
        <v>0.583333333333333</v>
      </c>
      <c r="Z24" s="32" t="s">
        <v>19</v>
      </c>
      <c r="AA24" s="38">
        <v>126</v>
      </c>
      <c r="AB24" s="39">
        <f>MOD(Y24-B24,1)</f>
        <v>0.295138888888889</v>
      </c>
      <c r="AC24" s="33">
        <f>G24+O24+W24</f>
        <v>0.205902777777777</v>
      </c>
      <c r="AD24" s="33">
        <f>I24+Q24</f>
        <v>0.075347222222223</v>
      </c>
      <c r="AE24" s="37"/>
      <c r="AF24" s="38">
        <v>20</v>
      </c>
      <c r="AG24" s="4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</row>
    <row r="25" s="4" customFormat="1" ht="18.95" customHeight="1" spans="1:65">
      <c r="A25" s="20"/>
      <c r="B25" s="21"/>
      <c r="C25" s="20"/>
      <c r="D25" s="41"/>
      <c r="E25" s="43"/>
      <c r="F25" s="43"/>
      <c r="G25" s="43"/>
      <c r="H25" s="41"/>
      <c r="I25" s="21"/>
      <c r="J25" s="41"/>
      <c r="K25" s="41"/>
      <c r="L25" s="41"/>
      <c r="M25" s="43"/>
      <c r="N25" s="43"/>
      <c r="O25" s="43"/>
      <c r="P25" s="41"/>
      <c r="Q25" s="21"/>
      <c r="R25" s="41"/>
      <c r="S25" s="41"/>
      <c r="T25" s="41"/>
      <c r="U25" s="43"/>
      <c r="V25" s="42"/>
      <c r="W25" s="43"/>
      <c r="X25" s="26"/>
      <c r="Y25" s="21"/>
      <c r="Z25" s="20"/>
      <c r="AA25" s="41"/>
      <c r="AB25" s="27"/>
      <c r="AC25" s="21"/>
      <c r="AD25" s="21"/>
      <c r="AE25" s="43"/>
      <c r="AF25" s="41"/>
      <c r="AG25" s="4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</row>
    <row r="26" ht="18.95" customHeight="1" spans="1:65">
      <c r="A26" s="32">
        <v>21</v>
      </c>
      <c r="B26" s="33">
        <v>0.291666666666667</v>
      </c>
      <c r="C26" s="32"/>
      <c r="D26" s="38">
        <v>204</v>
      </c>
      <c r="E26" s="37">
        <v>0.304305555555556</v>
      </c>
      <c r="F26" s="37">
        <v>0.401527777777777</v>
      </c>
      <c r="G26" s="37">
        <f>MOD(F26-E26,1)</f>
        <v>0.097222222222221</v>
      </c>
      <c r="H26" s="38"/>
      <c r="I26" s="33">
        <f>M26-F26</f>
        <v>0.026736111111112</v>
      </c>
      <c r="J26" s="38"/>
      <c r="K26" s="38"/>
      <c r="L26" s="38">
        <v>216</v>
      </c>
      <c r="M26" s="37">
        <v>0.428263888888889</v>
      </c>
      <c r="N26" s="37">
        <v>0.497013888888888</v>
      </c>
      <c r="O26" s="37">
        <f>MOD(N26-M26,1)</f>
        <v>0.068749999999999</v>
      </c>
      <c r="P26" s="38"/>
      <c r="Q26" s="33">
        <f>U26-N26</f>
        <v>0.0315972222222231</v>
      </c>
      <c r="R26" s="38"/>
      <c r="S26" s="38"/>
      <c r="T26" s="38">
        <v>217</v>
      </c>
      <c r="U26" s="37">
        <v>0.528611111111111</v>
      </c>
      <c r="V26" s="37">
        <v>0.623055555555555</v>
      </c>
      <c r="W26" s="37">
        <f>MOD(V26-U26,1)</f>
        <v>0.094444444444444</v>
      </c>
      <c r="X26" s="48"/>
      <c r="Y26" s="33">
        <v>0.625</v>
      </c>
      <c r="Z26" s="32" t="s">
        <v>19</v>
      </c>
      <c r="AA26" s="38">
        <v>186</v>
      </c>
      <c r="AB26" s="39">
        <f>MOD(Y26-B26,1)</f>
        <v>0.333333333333333</v>
      </c>
      <c r="AC26" s="33">
        <f>G26+O26+W26</f>
        <v>0.260416666666664</v>
      </c>
      <c r="AD26" s="33">
        <f>I26+Q26</f>
        <v>0.0583333333333351</v>
      </c>
      <c r="AE26" s="37"/>
      <c r="AF26" s="38" t="s">
        <v>48</v>
      </c>
      <c r="AG26" s="40"/>
    </row>
    <row r="27" ht="18.95" customHeight="1" spans="1:65">
      <c r="A27" s="20">
        <v>22</v>
      </c>
      <c r="B27" s="21">
        <f>E27-TIME(0,15,0)</f>
        <v>0.295138888888889</v>
      </c>
      <c r="C27" s="20" t="s">
        <v>37</v>
      </c>
      <c r="D27" s="41">
        <v>221</v>
      </c>
      <c r="E27" s="43">
        <v>0.305555555555556</v>
      </c>
      <c r="F27" s="43">
        <v>0.397708333333333</v>
      </c>
      <c r="G27" s="43">
        <f>MOD(F27-E27,1)</f>
        <v>0.092152777777777</v>
      </c>
      <c r="H27" s="41"/>
      <c r="I27" s="21">
        <f>M27-F27</f>
        <v>0.026736111111111</v>
      </c>
      <c r="J27" s="41"/>
      <c r="K27" s="41"/>
      <c r="L27" s="41">
        <v>207</v>
      </c>
      <c r="M27" s="43">
        <v>0.424444444444444</v>
      </c>
      <c r="N27" s="43">
        <v>0.514722222222221</v>
      </c>
      <c r="O27" s="43">
        <f>MOD(N27-M27,1)</f>
        <v>0.090277777777777</v>
      </c>
      <c r="P27" s="41"/>
      <c r="Q27" s="21">
        <f>U27-N27</f>
        <v>0.030416666666668</v>
      </c>
      <c r="R27" s="41"/>
      <c r="S27" s="41" t="s">
        <v>32</v>
      </c>
      <c r="T27" s="41">
        <v>208</v>
      </c>
      <c r="U27" s="42">
        <v>0.545138888888889</v>
      </c>
      <c r="V27" s="43">
        <v>0.617499999999999</v>
      </c>
      <c r="W27" s="43">
        <f>MOD(V27-U27,1)</f>
        <v>0.0723611111111101</v>
      </c>
      <c r="X27" s="26"/>
      <c r="Y27" s="21">
        <v>0.621527777777778</v>
      </c>
      <c r="Z27" s="20" t="s">
        <v>19</v>
      </c>
      <c r="AA27" s="41">
        <v>168</v>
      </c>
      <c r="AB27" s="27">
        <f>MOD(Y27-B27,1)</f>
        <v>0.326388888888889</v>
      </c>
      <c r="AC27" s="21">
        <f>G27+O27+W27</f>
        <v>0.254791666666664</v>
      </c>
      <c r="AD27" s="21">
        <f>I27+Q27</f>
        <v>0.057152777777779</v>
      </c>
      <c r="AE27" s="43"/>
      <c r="AF27" s="41">
        <v>223</v>
      </c>
      <c r="AG27" s="40"/>
    </row>
    <row r="28" ht="18.95" customHeight="1" spans="1:65">
      <c r="A28" s="32">
        <v>23</v>
      </c>
      <c r="B28" s="33">
        <f>E28-TIME(0,15,0)</f>
        <v>0.310416666666666</v>
      </c>
      <c r="C28" s="32" t="s">
        <v>32</v>
      </c>
      <c r="D28" s="38">
        <v>212</v>
      </c>
      <c r="E28" s="47">
        <v>0.320833333333333</v>
      </c>
      <c r="F28" s="37">
        <v>0.393888888888889</v>
      </c>
      <c r="G28" s="37">
        <f>MOD(F28-E28,1)</f>
        <v>0.073055555555556</v>
      </c>
      <c r="H28" s="38"/>
      <c r="I28" s="33">
        <f>M28-F28</f>
        <v>0.026736111111111</v>
      </c>
      <c r="J28" s="38"/>
      <c r="K28" s="38"/>
      <c r="L28" s="38">
        <v>215</v>
      </c>
      <c r="M28" s="37">
        <v>0.420625</v>
      </c>
      <c r="N28" s="37">
        <v>0.489375</v>
      </c>
      <c r="O28" s="37">
        <f>MOD(N28-M28,1)</f>
        <v>0.06875</v>
      </c>
      <c r="P28" s="56" t="s">
        <v>49</v>
      </c>
      <c r="Q28" s="33">
        <f>U28-N28</f>
        <v>0.050347222222222</v>
      </c>
      <c r="R28" s="38"/>
      <c r="S28" s="38"/>
      <c r="T28" s="38">
        <v>210</v>
      </c>
      <c r="U28" s="37">
        <v>0.539722222222222</v>
      </c>
      <c r="V28" s="37">
        <v>0.634166666666666</v>
      </c>
      <c r="W28" s="37">
        <f>MOD(V28-U28,1)</f>
        <v>0.094444444444444</v>
      </c>
      <c r="X28" s="48"/>
      <c r="Y28" s="33">
        <v>0.638888888888889</v>
      </c>
      <c r="Z28" s="32" t="s">
        <v>19</v>
      </c>
      <c r="AA28" s="57">
        <v>173</v>
      </c>
      <c r="AB28" s="39">
        <f>MOD(Y28-B28,1)</f>
        <v>0.328472222222223</v>
      </c>
      <c r="AC28" s="33">
        <f>G28+O28+W28</f>
        <v>0.23625</v>
      </c>
      <c r="AD28" s="33">
        <f>I28+Q28</f>
        <v>0.077083333333333</v>
      </c>
      <c r="AE28" s="37"/>
      <c r="AF28" s="38" t="s">
        <v>50</v>
      </c>
      <c r="AG28" s="40"/>
    </row>
    <row r="29" s="4" customFormat="1" ht="18.95" customHeight="1" spans="1:65">
      <c r="A29" s="20">
        <v>24</v>
      </c>
      <c r="B29" s="21">
        <v>0.3125</v>
      </c>
      <c r="C29" s="20"/>
      <c r="D29" s="41">
        <v>206</v>
      </c>
      <c r="E29" s="43">
        <v>0.325138888888889</v>
      </c>
      <c r="F29" s="43">
        <v>0.416805555555555</v>
      </c>
      <c r="G29" s="43">
        <f>MOD(F29-E29,1)</f>
        <v>0.091666666666666</v>
      </c>
      <c r="H29" s="41"/>
      <c r="I29" s="21">
        <f>M29-F29</f>
        <v>0.026736111111111</v>
      </c>
      <c r="J29" s="41"/>
      <c r="K29" s="41"/>
      <c r="L29" s="41">
        <v>218</v>
      </c>
      <c r="M29" s="43">
        <v>0.443541666666666</v>
      </c>
      <c r="N29" s="43">
        <v>0.472222222222222</v>
      </c>
      <c r="O29" s="43">
        <f>MOD(N29-M29,1)</f>
        <v>0.028680555555556</v>
      </c>
      <c r="P29" s="41" t="s">
        <v>27</v>
      </c>
      <c r="Q29" s="21">
        <f>U29-N29</f>
        <v>0.073055555555556</v>
      </c>
      <c r="R29" s="41"/>
      <c r="S29" s="41"/>
      <c r="T29" s="41">
        <v>219</v>
      </c>
      <c r="U29" s="43">
        <v>0.545277777777778</v>
      </c>
      <c r="V29" s="42">
        <v>0.56875</v>
      </c>
      <c r="W29" s="43">
        <f>MOD(V29-U29,1)</f>
        <v>0.023472222222222</v>
      </c>
      <c r="X29" s="26" t="s">
        <v>32</v>
      </c>
      <c r="Y29" s="54">
        <v>0.583333333333333</v>
      </c>
      <c r="Z29" s="20" t="s">
        <v>19</v>
      </c>
      <c r="AA29" s="58">
        <v>83</v>
      </c>
      <c r="AB29" s="27">
        <f>MOD(Y29-B29,1)</f>
        <v>0.270833333333333</v>
      </c>
      <c r="AC29" s="21">
        <f>G29+O29+W29</f>
        <v>0.143819444444444</v>
      </c>
      <c r="AD29" s="21">
        <f>I29+Q29</f>
        <v>0.099791666666667</v>
      </c>
      <c r="AE29" s="43"/>
      <c r="AF29" s="41">
        <v>24</v>
      </c>
      <c r="AG29" s="4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</row>
    <row r="30" ht="18.95" customHeight="1" spans="1:65">
      <c r="A30" s="32">
        <v>25</v>
      </c>
      <c r="B30" s="33">
        <v>0.322916666666667</v>
      </c>
      <c r="C30" s="32"/>
      <c r="D30" s="38">
        <v>207</v>
      </c>
      <c r="E30" s="37">
        <v>0.332638888888889</v>
      </c>
      <c r="F30" s="37">
        <v>0.424305555555556</v>
      </c>
      <c r="G30" s="37">
        <f>MOD(F30-E30,1)</f>
        <v>0.091666666666667</v>
      </c>
      <c r="H30" s="38"/>
      <c r="I30" s="33">
        <f>M30-F30</f>
        <v>0.026874999999999</v>
      </c>
      <c r="J30" s="38"/>
      <c r="K30" s="38"/>
      <c r="L30" s="38">
        <v>219</v>
      </c>
      <c r="M30" s="37">
        <v>0.451180555555555</v>
      </c>
      <c r="N30" s="37">
        <v>0.545277777777778</v>
      </c>
      <c r="O30" s="37">
        <f>MOD(N30-M30,1)</f>
        <v>0.094097222222223</v>
      </c>
      <c r="P30" s="48"/>
      <c r="Q30" s="33">
        <f>U30-N30</f>
        <v>0.022083333333333</v>
      </c>
      <c r="R30" s="38"/>
      <c r="S30" s="48" t="s">
        <v>32</v>
      </c>
      <c r="T30" s="38">
        <v>219</v>
      </c>
      <c r="U30" s="47">
        <v>0.567361111111111</v>
      </c>
      <c r="V30" s="37">
        <v>0.639722222222222</v>
      </c>
      <c r="W30" s="37">
        <f>MOD(V30-U30,1)</f>
        <v>0.072361111111111</v>
      </c>
      <c r="X30" s="48"/>
      <c r="Y30" s="55">
        <v>0.645833333333333</v>
      </c>
      <c r="Z30" s="32" t="s">
        <v>19</v>
      </c>
      <c r="AA30" s="38">
        <v>191</v>
      </c>
      <c r="AB30" s="39">
        <f>MOD(Y30-B30,1)</f>
        <v>0.322916666666666</v>
      </c>
      <c r="AC30" s="33">
        <f>G30+O30+W30</f>
        <v>0.258125000000001</v>
      </c>
      <c r="AD30" s="33">
        <f>I30+Q30</f>
        <v>0.048958333333332</v>
      </c>
      <c r="AE30" s="37"/>
      <c r="AF30" s="38" t="s">
        <v>51</v>
      </c>
      <c r="AG30" s="40"/>
    </row>
    <row r="31" s="4" customFormat="1" ht="18.95" customHeight="1" spans="1:65">
      <c r="A31" s="20">
        <v>26</v>
      </c>
      <c r="B31" s="21">
        <v>0.326388888888889</v>
      </c>
      <c r="C31" s="20" t="s">
        <v>32</v>
      </c>
      <c r="D31" s="41">
        <v>205</v>
      </c>
      <c r="E31" s="42">
        <v>0.336111111111111</v>
      </c>
      <c r="F31" s="43">
        <v>0.409166666666666</v>
      </c>
      <c r="G31" s="43">
        <f>MOD(F31-E31,1)</f>
        <v>0.073055555555555</v>
      </c>
      <c r="H31" s="41"/>
      <c r="I31" s="21">
        <f>M31-F31</f>
        <v>0.026736111111111</v>
      </c>
      <c r="J31" s="44"/>
      <c r="K31" s="44"/>
      <c r="L31" s="41">
        <v>217</v>
      </c>
      <c r="M31" s="43">
        <v>0.435902777777777</v>
      </c>
      <c r="N31" s="43">
        <v>0.528611111111111</v>
      </c>
      <c r="O31" s="43">
        <f>MOD(N31-M31,1)</f>
        <v>0.0927083333333341</v>
      </c>
      <c r="P31" s="41"/>
      <c r="Q31" s="21">
        <f>U31-N31</f>
        <v>0.033333333333333</v>
      </c>
      <c r="R31" s="44"/>
      <c r="S31" s="41"/>
      <c r="T31" s="41">
        <v>202</v>
      </c>
      <c r="U31" s="43">
        <v>0.561944444444444</v>
      </c>
      <c r="V31" s="43">
        <v>0.656388888888889</v>
      </c>
      <c r="W31" s="43">
        <f>MOD(V31-U31,1)</f>
        <v>0.094444444444445</v>
      </c>
      <c r="X31" s="26"/>
      <c r="Y31" s="54">
        <v>0.659722222222222</v>
      </c>
      <c r="Z31" s="20" t="s">
        <v>19</v>
      </c>
      <c r="AA31" s="41">
        <v>191</v>
      </c>
      <c r="AB31" s="27">
        <f>MOD(Y31-B31,1)</f>
        <v>0.333333333333333</v>
      </c>
      <c r="AC31" s="21">
        <f>G31+O31+W31</f>
        <v>0.260208333333334</v>
      </c>
      <c r="AD31" s="21">
        <f>I31+Q31</f>
        <v>0.060069444444444</v>
      </c>
      <c r="AE31" s="43"/>
      <c r="AF31" s="41" t="s">
        <v>52</v>
      </c>
      <c r="AG31" s="4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</row>
    <row r="32" ht="18.95" customHeight="1" spans="1:65">
      <c r="A32" s="46">
        <v>27</v>
      </c>
      <c r="B32" s="33">
        <v>0.326388888888889</v>
      </c>
      <c r="C32" s="32"/>
      <c r="D32" s="38">
        <v>213</v>
      </c>
      <c r="E32" s="37">
        <v>0.336597222222222</v>
      </c>
      <c r="F32" s="37">
        <v>0.405347222222222</v>
      </c>
      <c r="G32" s="37">
        <f>MOD(F32-E32,1)</f>
        <v>0.06875</v>
      </c>
      <c r="H32" s="38"/>
      <c r="I32" s="33">
        <f>M32-F32</f>
        <v>0.026736111111111</v>
      </c>
      <c r="J32" s="38"/>
      <c r="K32" s="38"/>
      <c r="L32" s="38">
        <v>208</v>
      </c>
      <c r="M32" s="37">
        <v>0.432083333333333</v>
      </c>
      <c r="N32" s="37">
        <v>0.521666666666667</v>
      </c>
      <c r="O32" s="37">
        <f>MOD(N32-M32,1)</f>
        <v>0.089583333333334</v>
      </c>
      <c r="P32" s="56" t="s">
        <v>53</v>
      </c>
      <c r="Q32" s="33">
        <f>U32-N32</f>
        <v>0.0568055555555551</v>
      </c>
      <c r="R32" s="38"/>
      <c r="S32" s="48" t="s">
        <v>32</v>
      </c>
      <c r="T32" s="38">
        <v>201</v>
      </c>
      <c r="U32" s="47">
        <v>0.578472222222222</v>
      </c>
      <c r="V32" s="37">
        <v>0.650833333333333</v>
      </c>
      <c r="W32" s="37">
        <f>MOD(V32-U32,1)</f>
        <v>0.072361111111111</v>
      </c>
      <c r="X32" s="48"/>
      <c r="Y32" s="55">
        <v>0.652777777777778</v>
      </c>
      <c r="Z32" s="32" t="s">
        <v>19</v>
      </c>
      <c r="AA32" s="38">
        <v>173</v>
      </c>
      <c r="AB32" s="39">
        <f>MOD(Y32-B32,1)</f>
        <v>0.326388888888889</v>
      </c>
      <c r="AC32" s="33">
        <f>G32+O32+W32</f>
        <v>0.230694444444445</v>
      </c>
      <c r="AD32" s="33">
        <f>I32+Q32</f>
        <v>0.0835416666666661</v>
      </c>
      <c r="AE32" s="37"/>
      <c r="AF32" s="38" t="s">
        <v>54</v>
      </c>
      <c r="AG32" s="40"/>
    </row>
    <row r="33" s="4" customFormat="1" ht="18.95" customHeight="1" spans="1:65">
      <c r="A33" s="20">
        <v>28</v>
      </c>
      <c r="B33" s="21">
        <f>E33-TIME(0,15,0)</f>
        <v>0.33</v>
      </c>
      <c r="C33" s="20"/>
      <c r="D33" s="41">
        <v>208</v>
      </c>
      <c r="E33" s="43">
        <v>0.340416666666667</v>
      </c>
      <c r="F33" s="43">
        <v>0.432083333333333</v>
      </c>
      <c r="G33" s="43">
        <f>MOD(F33-E33,1)</f>
        <v>0.091666666666666</v>
      </c>
      <c r="H33" s="41"/>
      <c r="I33" s="21">
        <f>M33-F33</f>
        <v>0.026736111111111</v>
      </c>
      <c r="J33" s="41"/>
      <c r="K33" s="41"/>
      <c r="L33" s="41">
        <v>220</v>
      </c>
      <c r="M33" s="43">
        <v>0.458819444444444</v>
      </c>
      <c r="N33" s="43">
        <v>0.550833333333333</v>
      </c>
      <c r="O33" s="43">
        <f>MOD(N33-M33,1)</f>
        <v>0.092013888888889</v>
      </c>
      <c r="P33" s="41"/>
      <c r="Q33" s="21">
        <f>U33-N33</f>
        <v>0.027777777777778</v>
      </c>
      <c r="R33" s="41"/>
      <c r="S33" s="41"/>
      <c r="T33" s="41">
        <v>212</v>
      </c>
      <c r="U33" s="43">
        <v>0.578611111111111</v>
      </c>
      <c r="V33" s="43">
        <v>0.658333333333333</v>
      </c>
      <c r="W33" s="43">
        <f>MOD(V33-U33,1)</f>
        <v>0.079722222222222</v>
      </c>
      <c r="X33" s="26" t="s">
        <v>55</v>
      </c>
      <c r="Y33" s="54">
        <v>0.659722222222222</v>
      </c>
      <c r="Z33" s="20" t="s">
        <v>40</v>
      </c>
      <c r="AA33" s="22">
        <v>193</v>
      </c>
      <c r="AB33" s="27">
        <f>MOD(Y33-B33,1)</f>
        <v>0.329722222222222</v>
      </c>
      <c r="AC33" s="21">
        <f>G33+O33+W33</f>
        <v>0.263402777777777</v>
      </c>
      <c r="AD33" s="21">
        <f>I33+Q33</f>
        <v>0.054513888888889</v>
      </c>
      <c r="AE33" s="21"/>
      <c r="AF33" s="41" t="s">
        <v>56</v>
      </c>
      <c r="AG33" s="45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</row>
    <row r="34" ht="18.95" customHeight="1" spans="1:65">
      <c r="A34" s="32">
        <v>29</v>
      </c>
      <c r="B34" s="33">
        <f>E34-TIME(0,15,0)</f>
        <v>0.333819444444444</v>
      </c>
      <c r="C34" s="32"/>
      <c r="D34" s="38">
        <v>214</v>
      </c>
      <c r="E34" s="37">
        <v>0.344236111111111</v>
      </c>
      <c r="F34" s="37">
        <v>0.412986111111111</v>
      </c>
      <c r="G34" s="37">
        <f>MOD(F34-E34,1)</f>
        <v>0.06875</v>
      </c>
      <c r="H34" s="38"/>
      <c r="I34" s="33">
        <f>M34-F34</f>
        <v>0.026736111111111</v>
      </c>
      <c r="J34" s="59"/>
      <c r="K34" s="59"/>
      <c r="L34" s="38">
        <v>209</v>
      </c>
      <c r="M34" s="37">
        <v>0.439722222222222</v>
      </c>
      <c r="N34" s="37">
        <v>0.534166666666666</v>
      </c>
      <c r="O34" s="37">
        <f>MOD(N34-M34,1)</f>
        <v>0.094444444444444</v>
      </c>
      <c r="P34" s="38"/>
      <c r="Q34" s="33">
        <f>U34-N34</f>
        <v>0.033333333333334</v>
      </c>
      <c r="R34" s="59"/>
      <c r="S34" s="38"/>
      <c r="T34" s="38">
        <v>213</v>
      </c>
      <c r="U34" s="37">
        <v>0.5675</v>
      </c>
      <c r="V34" s="37">
        <v>0.661944444444444</v>
      </c>
      <c r="W34" s="37">
        <f>MOD(V34-U34,1)</f>
        <v>0.094444444444444</v>
      </c>
      <c r="X34" s="48"/>
      <c r="Y34" s="55">
        <v>0.663194444444444</v>
      </c>
      <c r="Z34" s="32" t="s">
        <v>19</v>
      </c>
      <c r="AA34" s="38">
        <v>186</v>
      </c>
      <c r="AB34" s="39">
        <f>MOD(Y34-B34,1)</f>
        <v>0.329375</v>
      </c>
      <c r="AC34" s="33">
        <f>G34+O34+W34</f>
        <v>0.257638888888888</v>
      </c>
      <c r="AD34" s="33">
        <f>I34+Q34</f>
        <v>0.060069444444445</v>
      </c>
      <c r="AE34" s="37"/>
      <c r="AF34" s="38" t="s">
        <v>57</v>
      </c>
      <c r="AG34" s="45"/>
    </row>
    <row r="35" s="4" customFormat="1" ht="18.95" customHeight="1" spans="1:65">
      <c r="A35" s="20">
        <v>30</v>
      </c>
      <c r="B35" s="21">
        <v>0.336805555555556</v>
      </c>
      <c r="C35" s="20"/>
      <c r="D35" s="41">
        <v>209</v>
      </c>
      <c r="E35" s="43">
        <v>0.348055555555556</v>
      </c>
      <c r="F35" s="43">
        <v>0.439722222222222</v>
      </c>
      <c r="G35" s="43">
        <f>MOD(F35-E35,1)</f>
        <v>0.091666666666666</v>
      </c>
      <c r="H35" s="41"/>
      <c r="I35" s="21">
        <f>M35-F35</f>
        <v>0.026736111111111</v>
      </c>
      <c r="J35" s="41"/>
      <c r="K35" s="41"/>
      <c r="L35" s="41">
        <v>221</v>
      </c>
      <c r="M35" s="43">
        <v>0.466458333333333</v>
      </c>
      <c r="N35" s="43">
        <v>0.496527777777778</v>
      </c>
      <c r="O35" s="43">
        <f>MOD(N35-M35,1)</f>
        <v>0.030069444444445</v>
      </c>
      <c r="P35" s="41" t="s">
        <v>27</v>
      </c>
      <c r="Q35" s="21">
        <f>U35-N35</f>
        <v>0.076527777777777</v>
      </c>
      <c r="R35" s="41"/>
      <c r="S35" s="60" t="s">
        <v>53</v>
      </c>
      <c r="T35" s="41">
        <v>214</v>
      </c>
      <c r="U35" s="43">
        <v>0.573055555555555</v>
      </c>
      <c r="V35" s="43">
        <v>0.6675</v>
      </c>
      <c r="W35" s="43">
        <f>MOD(V35-U35,1)</f>
        <v>0.094444444444445</v>
      </c>
      <c r="X35" s="26"/>
      <c r="Y35" s="54">
        <v>0.670138888888889</v>
      </c>
      <c r="Z35" s="20" t="s">
        <v>19</v>
      </c>
      <c r="AA35" s="41">
        <v>138</v>
      </c>
      <c r="AB35" s="27">
        <f>MOD(Y35-B35,1)</f>
        <v>0.333333333333333</v>
      </c>
      <c r="AC35" s="21">
        <f>G35+O35+W35</f>
        <v>0.216180555555556</v>
      </c>
      <c r="AD35" s="21">
        <f>I35+Q35</f>
        <v>0.103263888888888</v>
      </c>
      <c r="AE35" s="43"/>
      <c r="AF35" s="41">
        <v>30</v>
      </c>
      <c r="AG35" s="4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</row>
    <row r="36" s="4" customFormat="1" ht="18.95" customHeight="1" spans="1:65">
      <c r="A36" s="32"/>
      <c r="B36" s="33"/>
      <c r="C36" s="32"/>
      <c r="D36" s="38"/>
      <c r="E36" s="37"/>
      <c r="F36" s="37"/>
      <c r="G36" s="37"/>
      <c r="H36" s="38"/>
      <c r="I36" s="33"/>
      <c r="J36" s="38"/>
      <c r="K36" s="38"/>
      <c r="L36" s="38"/>
      <c r="M36" s="37"/>
      <c r="N36" s="37"/>
      <c r="O36" s="37"/>
      <c r="P36" s="38"/>
      <c r="Q36" s="33"/>
      <c r="R36" s="38"/>
      <c r="S36" s="38"/>
      <c r="T36" s="38"/>
      <c r="U36" s="37"/>
      <c r="V36" s="37"/>
      <c r="W36" s="37"/>
      <c r="X36" s="48"/>
      <c r="Y36" s="55"/>
      <c r="Z36" s="32"/>
      <c r="AA36" s="38"/>
      <c r="AB36" s="39"/>
      <c r="AC36" s="33"/>
      <c r="AD36" s="33"/>
      <c r="AE36" s="37"/>
      <c r="AF36" s="38"/>
      <c r="AG36" s="4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</row>
    <row r="37" s="2" customFormat="1" ht="18.95" customHeight="1" spans="1:65">
      <c r="A37" s="20">
        <v>31</v>
      </c>
      <c r="B37" s="21">
        <v>0.572916666666667</v>
      </c>
      <c r="C37" s="20" t="s">
        <v>19</v>
      </c>
      <c r="D37" s="61" t="s">
        <v>22</v>
      </c>
      <c r="E37" s="23"/>
      <c r="F37" s="24"/>
      <c r="G37" s="25"/>
      <c r="H37" s="24"/>
      <c r="I37" s="24"/>
      <c r="J37" s="24"/>
      <c r="K37" s="24"/>
      <c r="L37" s="22"/>
      <c r="M37" s="24"/>
      <c r="N37" s="24"/>
      <c r="O37" s="25"/>
      <c r="P37" s="24"/>
      <c r="Q37" s="24"/>
      <c r="R37" s="24"/>
      <c r="S37" s="24"/>
      <c r="T37" s="41"/>
      <c r="U37" s="24"/>
      <c r="V37" s="24"/>
      <c r="W37" s="25"/>
      <c r="X37" s="24"/>
      <c r="Y37" s="21">
        <v>0.90625</v>
      </c>
      <c r="Z37" s="20" t="s">
        <v>19</v>
      </c>
      <c r="AA37" s="26"/>
      <c r="AB37" s="27">
        <f>MOD(Y37-B37,1)</f>
        <v>0.333333333333333</v>
      </c>
      <c r="AC37" s="21"/>
      <c r="AD37" s="21"/>
      <c r="AE37" s="26"/>
      <c r="AF37" s="26" t="s">
        <v>23</v>
      </c>
      <c r="AG37" s="28"/>
      <c r="AH37" s="7"/>
      <c r="AI37" s="7"/>
      <c r="AJ37" s="7"/>
      <c r="AK37" s="7"/>
      <c r="AL37" s="7"/>
      <c r="AM37" s="29"/>
      <c r="AN37" s="7"/>
      <c r="AO37" s="7"/>
      <c r="AP37" s="30"/>
      <c r="AQ37" s="31"/>
      <c r="AR37" s="30"/>
      <c r="AS37" s="3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="3" customFormat="1" ht="18.95" customHeight="1" spans="1:65">
      <c r="A38" s="32">
        <v>32</v>
      </c>
      <c r="B38" s="33">
        <v>0.583333333333333</v>
      </c>
      <c r="C38" s="32" t="s">
        <v>19</v>
      </c>
      <c r="D38" s="62" t="s">
        <v>58</v>
      </c>
      <c r="E38" s="35"/>
      <c r="F38" s="36"/>
      <c r="G38" s="37"/>
      <c r="H38" s="38"/>
      <c r="I38" s="37"/>
      <c r="J38" s="38"/>
      <c r="K38" s="38"/>
      <c r="L38" s="38"/>
      <c r="M38" s="37"/>
      <c r="N38" s="37"/>
      <c r="O38" s="37"/>
      <c r="P38" s="38"/>
      <c r="Q38" s="33"/>
      <c r="R38" s="38"/>
      <c r="S38" s="38"/>
      <c r="T38" s="62" t="s">
        <v>58</v>
      </c>
      <c r="U38" s="38"/>
      <c r="V38" s="38"/>
      <c r="W38" s="37"/>
      <c r="X38" s="38"/>
      <c r="Y38" s="33">
        <v>0.916666666666667</v>
      </c>
      <c r="Z38" s="32" t="s">
        <v>19</v>
      </c>
      <c r="AA38" s="38"/>
      <c r="AB38" s="39">
        <f>MOD(Y38-B38,1)</f>
        <v>0.333333333333334</v>
      </c>
      <c r="AC38" s="33"/>
      <c r="AD38" s="33"/>
      <c r="AE38" s="38"/>
      <c r="AF38" s="38" t="s">
        <v>59</v>
      </c>
      <c r="AG38" s="40"/>
    </row>
    <row r="39" s="6" customFormat="1" ht="18.95" customHeight="1" spans="1:65">
      <c r="A39" s="20">
        <v>33</v>
      </c>
      <c r="B39" s="21">
        <v>0.552083333333333</v>
      </c>
      <c r="C39" s="20" t="s">
        <v>60</v>
      </c>
      <c r="D39" s="41" t="s">
        <v>61</v>
      </c>
      <c r="E39" s="43">
        <v>0.555555555555556</v>
      </c>
      <c r="F39" s="43">
        <v>0.677083333333333</v>
      </c>
      <c r="G39" s="42">
        <f>MOD(F39-E39,1)</f>
        <v>0.121527777777777</v>
      </c>
      <c r="I39" s="63">
        <f>M39-F39</f>
        <v>0.018194444444444</v>
      </c>
      <c r="K39" s="64"/>
      <c r="L39" s="65">
        <v>205</v>
      </c>
      <c r="M39" s="43">
        <v>0.695277777777777</v>
      </c>
      <c r="N39" s="43">
        <v>0.766458333333332</v>
      </c>
      <c r="O39" s="43">
        <f>MOD(N39-M39,1)</f>
        <v>0.071180555555555</v>
      </c>
      <c r="P39" s="41"/>
      <c r="Q39" s="21">
        <f>U39-N39</f>
        <v>0.019097222222223</v>
      </c>
      <c r="R39" s="41"/>
      <c r="S39" s="41"/>
      <c r="T39" s="41">
        <v>216</v>
      </c>
      <c r="U39" s="43">
        <v>0.785555555555555</v>
      </c>
      <c r="V39" s="43">
        <v>0.877222222222221</v>
      </c>
      <c r="W39" s="43">
        <f>MOD(V39-U39,1)</f>
        <v>0.091666666666666</v>
      </c>
      <c r="Y39" s="21">
        <v>0.885416666666667</v>
      </c>
      <c r="Z39" s="20" t="s">
        <v>19</v>
      </c>
      <c r="AA39" s="41">
        <v>118</v>
      </c>
      <c r="AB39" s="27">
        <f>MOD(Y39-B39,1)</f>
        <v>0.333333333333334</v>
      </c>
      <c r="AC39" s="21">
        <f>O39+W39</f>
        <v>0.162847222222221</v>
      </c>
      <c r="AD39" s="21">
        <f>I39+Q39</f>
        <v>0.0372916666666669</v>
      </c>
      <c r="AE39" s="41"/>
      <c r="AF39" s="41">
        <v>33</v>
      </c>
      <c r="AG39" s="4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</row>
    <row r="40" ht="18.95" customHeight="1" spans="1:65">
      <c r="A40" s="32">
        <v>34</v>
      </c>
      <c r="B40" s="33">
        <v>0.555555555555556</v>
      </c>
      <c r="C40" s="32" t="s">
        <v>24</v>
      </c>
      <c r="D40" s="38">
        <v>209</v>
      </c>
      <c r="E40" s="47">
        <v>0.56875</v>
      </c>
      <c r="F40" s="37">
        <v>0.628611111111111</v>
      </c>
      <c r="G40" s="37">
        <f>MOD(F40-E40,1)</f>
        <v>0.059861111111111</v>
      </c>
      <c r="H40" s="38"/>
      <c r="I40" s="33">
        <f>M40-F40</f>
        <v>0.022222222222222</v>
      </c>
      <c r="J40" s="38"/>
      <c r="K40" s="66"/>
      <c r="L40" s="38">
        <v>201</v>
      </c>
      <c r="M40" s="37">
        <v>0.650833333333333</v>
      </c>
      <c r="N40" s="37">
        <v>0.74736111111111</v>
      </c>
      <c r="O40" s="37">
        <f>MOD(N40-M40,1)</f>
        <v>0.096527777777777</v>
      </c>
      <c r="P40" s="38"/>
      <c r="Q40" s="33">
        <f>U40-N40</f>
        <v>0.019097222222222</v>
      </c>
      <c r="R40" s="38"/>
      <c r="S40" s="38"/>
      <c r="T40" s="38">
        <v>205</v>
      </c>
      <c r="U40" s="37">
        <v>0.766458333333332</v>
      </c>
      <c r="V40" s="37">
        <v>0.861111111111111</v>
      </c>
      <c r="W40" s="37">
        <f>MOD(V40-U40,1)</f>
        <v>0.094652777777779</v>
      </c>
      <c r="X40" s="48" t="s">
        <v>27</v>
      </c>
      <c r="Y40" s="55">
        <v>0.875</v>
      </c>
      <c r="Z40" s="32" t="s">
        <v>28</v>
      </c>
      <c r="AA40" s="38">
        <v>164</v>
      </c>
      <c r="AB40" s="39">
        <f>MOD(Y40-B40,1)</f>
        <v>0.319444444444444</v>
      </c>
      <c r="AC40" s="33">
        <f>G40+O40+W40</f>
        <v>0.251041666666667</v>
      </c>
      <c r="AD40" s="33">
        <f>I40+Q40</f>
        <v>0.041319444444444</v>
      </c>
      <c r="AE40" s="37"/>
      <c r="AF40" s="32" t="s">
        <v>62</v>
      </c>
      <c r="AG40" s="40"/>
    </row>
    <row r="41" s="4" customFormat="1" ht="18.95" customHeight="1" spans="1:65">
      <c r="A41" s="20">
        <v>35</v>
      </c>
      <c r="B41" s="21">
        <v>0.569444444444444</v>
      </c>
      <c r="C41" s="20" t="s">
        <v>60</v>
      </c>
      <c r="D41" s="41" t="s">
        <v>61</v>
      </c>
      <c r="E41" s="43">
        <v>0.572916666666667</v>
      </c>
      <c r="F41" s="43">
        <v>0.677083333333333</v>
      </c>
      <c r="G41" s="42">
        <f>MOD(F41-E41,1)</f>
        <v>0.104166666666666</v>
      </c>
      <c r="H41" s="67"/>
      <c r="I41" s="21">
        <f>M39-F39</f>
        <v>0.018194444444444</v>
      </c>
      <c r="J41" s="68"/>
      <c r="K41" s="20" t="s">
        <v>63</v>
      </c>
      <c r="L41" s="41">
        <v>221</v>
      </c>
      <c r="M41" s="43">
        <v>0.697916666666667</v>
      </c>
      <c r="N41" s="43">
        <v>0.789374999999999</v>
      </c>
      <c r="O41" s="43">
        <f>MOD(N41-M41,1)</f>
        <v>0.0914583333333321</v>
      </c>
      <c r="P41" s="43"/>
      <c r="Q41" s="21">
        <f>U41-N41</f>
        <v>0.019097222222222</v>
      </c>
      <c r="R41" s="41"/>
      <c r="S41" s="41"/>
      <c r="T41" s="41">
        <v>217</v>
      </c>
      <c r="U41" s="43">
        <v>0.808472222222221</v>
      </c>
      <c r="V41" s="43">
        <v>0.899444444444443</v>
      </c>
      <c r="W41" s="43">
        <f>MOD(V41-U41,1)</f>
        <v>0.090972222222222</v>
      </c>
      <c r="X41" s="26"/>
      <c r="Y41" s="21">
        <v>0.902777777777778</v>
      </c>
      <c r="Z41" s="20" t="s">
        <v>19</v>
      </c>
      <c r="AA41" s="41">
        <v>136</v>
      </c>
      <c r="AB41" s="27">
        <f>MOD(Y41-B41,1)</f>
        <v>0.333333333333334</v>
      </c>
      <c r="AC41" s="69">
        <f>O41+W41</f>
        <v>0.182430555555554</v>
      </c>
      <c r="AD41" s="69">
        <f>I41+Q41</f>
        <v>0.0372916666666659</v>
      </c>
      <c r="AE41" s="41"/>
      <c r="AF41" s="41">
        <v>35</v>
      </c>
      <c r="AG41" s="4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</row>
    <row r="42" ht="18.95" customHeight="1" spans="1:65">
      <c r="A42" s="32">
        <v>36</v>
      </c>
      <c r="B42" s="33">
        <v>0.572916666666667</v>
      </c>
      <c r="C42" s="32"/>
      <c r="D42" s="38">
        <v>215</v>
      </c>
      <c r="E42" s="37">
        <v>0.584166666666666</v>
      </c>
      <c r="F42" s="47">
        <v>0.607638888888889</v>
      </c>
      <c r="G42" s="37">
        <f>MOD(F42-E42,1)</f>
        <v>0.023472222222223</v>
      </c>
      <c r="H42" s="38" t="s">
        <v>32</v>
      </c>
      <c r="I42" s="33">
        <f>M42-F42</f>
        <v>0.093194444444444</v>
      </c>
      <c r="J42" s="38"/>
      <c r="K42" s="56" t="s">
        <v>64</v>
      </c>
      <c r="L42" s="38">
        <v>206</v>
      </c>
      <c r="M42" s="37">
        <v>0.700833333333333</v>
      </c>
      <c r="N42" s="37">
        <v>0.793194444444443</v>
      </c>
      <c r="O42" s="37">
        <f>MOD(N42-M42,1)</f>
        <v>0.09236111111111</v>
      </c>
      <c r="P42" s="38"/>
      <c r="Q42" s="33">
        <f>U42-N42</f>
        <v>0.019097222222223</v>
      </c>
      <c r="R42" s="38"/>
      <c r="S42" s="38"/>
      <c r="T42" s="38">
        <v>214</v>
      </c>
      <c r="U42" s="37">
        <v>0.812291666666666</v>
      </c>
      <c r="V42" s="37">
        <v>0.90625</v>
      </c>
      <c r="W42" s="37">
        <f>MOD(V42-U42,1)</f>
        <v>0.093958333333334</v>
      </c>
      <c r="X42" s="48" t="s">
        <v>65</v>
      </c>
      <c r="Y42" s="55">
        <v>0.90625</v>
      </c>
      <c r="Z42" s="32" t="s">
        <v>19</v>
      </c>
      <c r="AA42" s="38">
        <v>132</v>
      </c>
      <c r="AB42" s="39">
        <f>MOD(Y42-B42,1)</f>
        <v>0.333333333333333</v>
      </c>
      <c r="AC42" s="33">
        <f>G42+O42+W42</f>
        <v>0.209791666666667</v>
      </c>
      <c r="AD42" s="33">
        <f>I42+Q42</f>
        <v>0.112291666666667</v>
      </c>
      <c r="AE42" s="37"/>
      <c r="AF42" s="32">
        <v>36</v>
      </c>
      <c r="AG42" s="40"/>
    </row>
    <row r="43" s="4" customFormat="1" ht="18.95" customHeight="1" spans="1:65">
      <c r="A43" s="20">
        <v>37</v>
      </c>
      <c r="B43" s="21">
        <v>0.576388888888889</v>
      </c>
      <c r="C43" s="20"/>
      <c r="D43" s="41">
        <v>204</v>
      </c>
      <c r="E43" s="43">
        <v>0.589722222222222</v>
      </c>
      <c r="F43" s="43">
        <v>0.684166666666666</v>
      </c>
      <c r="G43" s="43">
        <f>MOD(F43-E43,1)</f>
        <v>0.094444444444444</v>
      </c>
      <c r="H43" s="41"/>
      <c r="I43" s="21">
        <f>M43-F43</f>
        <v>0.0222222222222219</v>
      </c>
      <c r="J43" s="41"/>
      <c r="K43" s="25"/>
      <c r="L43" s="41">
        <v>207</v>
      </c>
      <c r="M43" s="43">
        <v>0.706388888888888</v>
      </c>
      <c r="N43" s="43">
        <v>0.800833333333332</v>
      </c>
      <c r="O43" s="43">
        <f>MOD(N43-M43,1)</f>
        <v>0.094444444444444</v>
      </c>
      <c r="P43" s="41"/>
      <c r="Q43" s="21">
        <f>U43-N43</f>
        <v>0.0190972222222231</v>
      </c>
      <c r="R43" s="41"/>
      <c r="S43" s="41"/>
      <c r="T43" s="41">
        <v>211</v>
      </c>
      <c r="U43" s="43">
        <v>0.819930555555555</v>
      </c>
      <c r="V43" s="43">
        <v>0.898611111111111</v>
      </c>
      <c r="W43" s="43">
        <f>MOD(V43-U43,1)</f>
        <v>0.078680555555556</v>
      </c>
      <c r="X43" s="26" t="s">
        <v>55</v>
      </c>
      <c r="Y43" s="54">
        <v>0.902777777777778</v>
      </c>
      <c r="Z43" s="20" t="s">
        <v>40</v>
      </c>
      <c r="AA43" s="41">
        <v>193</v>
      </c>
      <c r="AB43" s="27">
        <f>MOD(Y43-B43,1)</f>
        <v>0.326388888888889</v>
      </c>
      <c r="AC43" s="21">
        <f>G43+O43+W43</f>
        <v>0.267569444444444</v>
      </c>
      <c r="AD43" s="21">
        <f>I43+Q43</f>
        <v>0.041319444444445</v>
      </c>
      <c r="AE43" s="43"/>
      <c r="AF43" s="41" t="s">
        <v>66</v>
      </c>
      <c r="AG43" s="7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</row>
    <row r="44" ht="18.95" customHeight="1" spans="1:65">
      <c r="A44" s="32">
        <v>38</v>
      </c>
      <c r="B44" s="33">
        <v>0.583333333333333</v>
      </c>
      <c r="C44" s="32"/>
      <c r="D44" s="38">
        <v>216</v>
      </c>
      <c r="E44" s="37">
        <v>0.595277777777777</v>
      </c>
      <c r="F44" s="37">
        <v>0.689722222222222</v>
      </c>
      <c r="G44" s="37">
        <f>MOD(F44-E44,1)</f>
        <v>0.094444444444445</v>
      </c>
      <c r="H44" s="49"/>
      <c r="I44" s="33">
        <f>M44-F44</f>
        <v>0.021527777777778</v>
      </c>
      <c r="J44" s="49"/>
      <c r="K44" s="38"/>
      <c r="L44" s="38">
        <v>208</v>
      </c>
      <c r="M44" s="37">
        <v>0.71125</v>
      </c>
      <c r="N44" s="37">
        <v>0.78173611111111</v>
      </c>
      <c r="O44" s="37">
        <f>MOD(N44-M44,1)</f>
        <v>0.0704861111111099</v>
      </c>
      <c r="P44" s="38"/>
      <c r="Q44" s="33">
        <f>U44-N44</f>
        <v>0.019097222222222</v>
      </c>
      <c r="R44" s="49"/>
      <c r="S44" s="38"/>
      <c r="T44" s="38">
        <v>207</v>
      </c>
      <c r="U44" s="37">
        <v>0.800833333333332</v>
      </c>
      <c r="V44" s="37">
        <v>0.892499999999999</v>
      </c>
      <c r="W44" s="37">
        <f>MOD(V44-U44,1)</f>
        <v>0.091666666666667</v>
      </c>
      <c r="X44" s="48"/>
      <c r="Y44" s="55">
        <v>0.895833333333333</v>
      </c>
      <c r="Z44" s="32" t="s">
        <v>19</v>
      </c>
      <c r="AA44" s="38">
        <v>186</v>
      </c>
      <c r="AB44" s="39">
        <f>MOD(Y44-B44,1)</f>
        <v>0.3125</v>
      </c>
      <c r="AC44" s="33">
        <f>G44+O44+W44</f>
        <v>0.256597222222222</v>
      </c>
      <c r="AD44" s="33">
        <f>I44+Q44</f>
        <v>0.040625</v>
      </c>
      <c r="AE44" s="37"/>
      <c r="AF44" s="38" t="s">
        <v>67</v>
      </c>
      <c r="AG44" s="40"/>
    </row>
    <row r="45" s="6" customFormat="1" ht="18.95" customHeight="1" spans="1:65">
      <c r="A45" s="20"/>
      <c r="B45" s="21"/>
      <c r="C45" s="20"/>
      <c r="D45" s="41"/>
      <c r="E45" s="43"/>
      <c r="F45" s="43"/>
      <c r="G45" s="43"/>
      <c r="H45" s="44"/>
      <c r="I45" s="21"/>
      <c r="J45" s="44"/>
      <c r="K45" s="41"/>
      <c r="L45" s="41"/>
      <c r="M45" s="43"/>
      <c r="N45" s="43"/>
      <c r="O45" s="43"/>
      <c r="P45" s="41"/>
      <c r="Q45" s="21"/>
      <c r="R45" s="44"/>
      <c r="S45" s="41"/>
      <c r="T45" s="41"/>
      <c r="U45" s="43"/>
      <c r="V45" s="43"/>
      <c r="W45" s="43"/>
      <c r="X45" s="26"/>
      <c r="Y45" s="54"/>
      <c r="Z45" s="20"/>
      <c r="AA45" s="41"/>
      <c r="AB45" s="27"/>
      <c r="AC45" s="21"/>
      <c r="AD45" s="21"/>
      <c r="AE45" s="43"/>
      <c r="AF45" s="41"/>
      <c r="AG45" s="4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</row>
    <row r="46" ht="18.95" customHeight="1" spans="1:65">
      <c r="A46" s="32">
        <v>39</v>
      </c>
      <c r="B46" s="33">
        <v>0.586805555555556</v>
      </c>
      <c r="C46" s="32" t="s">
        <v>45</v>
      </c>
      <c r="D46" s="38">
        <v>220</v>
      </c>
      <c r="E46" s="47">
        <v>0.599305555555556</v>
      </c>
      <c r="F46" s="37">
        <v>0.645277777777777</v>
      </c>
      <c r="G46" s="37">
        <f>MOD(F46-E46,1)</f>
        <v>0.045972222222221</v>
      </c>
      <c r="H46" s="38"/>
      <c r="I46" s="33">
        <f>M46-F46</f>
        <v>0.022222222222223</v>
      </c>
      <c r="J46" s="38"/>
      <c r="K46" s="66"/>
      <c r="L46" s="38">
        <v>214</v>
      </c>
      <c r="M46" s="37">
        <v>0.6675</v>
      </c>
      <c r="N46" s="37">
        <v>0.743888888888889</v>
      </c>
      <c r="O46" s="37">
        <f>MOD(N46-M46,1)</f>
        <v>0.0763888888888891</v>
      </c>
      <c r="P46" s="38"/>
      <c r="Q46" s="33">
        <f>U46-N46</f>
        <v>0.0187499999999989</v>
      </c>
      <c r="R46" s="38"/>
      <c r="S46" s="38"/>
      <c r="T46" s="38">
        <v>212</v>
      </c>
      <c r="U46" s="37">
        <v>0.762638888888888</v>
      </c>
      <c r="V46" s="37">
        <v>0.854305555555554</v>
      </c>
      <c r="W46" s="37">
        <f>MOD(V46-U46,1)</f>
        <v>0.091666666666666</v>
      </c>
      <c r="X46" s="48"/>
      <c r="Y46" s="55">
        <v>0.864583333333333</v>
      </c>
      <c r="Z46" s="32" t="s">
        <v>19</v>
      </c>
      <c r="AA46" s="38">
        <v>171</v>
      </c>
      <c r="AB46" s="39">
        <f>MOD(Y46-B46,1)</f>
        <v>0.277777777777777</v>
      </c>
      <c r="AC46" s="33">
        <f>G46+O46+W46</f>
        <v>0.214027777777776</v>
      </c>
      <c r="AD46" s="33">
        <f>I46+Q46</f>
        <v>0.040972222222222</v>
      </c>
      <c r="AE46" s="37"/>
      <c r="AF46" s="38" t="s">
        <v>68</v>
      </c>
      <c r="AG46" s="40"/>
    </row>
    <row r="47" ht="18.95" customHeight="1" spans="1:65">
      <c r="A47" s="20">
        <v>40</v>
      </c>
      <c r="B47" s="21">
        <f>E47-TIME(0,15,0)</f>
        <v>0.590416666666666</v>
      </c>
      <c r="C47" s="20"/>
      <c r="D47" s="41">
        <v>205</v>
      </c>
      <c r="E47" s="43">
        <v>0.600833333333333</v>
      </c>
      <c r="F47" s="43">
        <v>0.695277777777777</v>
      </c>
      <c r="G47" s="43">
        <f>MOD(F47-E47,1)</f>
        <v>0.094444444444444</v>
      </c>
      <c r="H47" s="41"/>
      <c r="I47" s="21">
        <f>M47-F47</f>
        <v>0.022222222222222</v>
      </c>
      <c r="J47" s="41"/>
      <c r="K47" s="25"/>
      <c r="L47" s="41">
        <v>217</v>
      </c>
      <c r="M47" s="43">
        <v>0.717499999999999</v>
      </c>
      <c r="N47" s="43">
        <v>0.808472222222221</v>
      </c>
      <c r="O47" s="43">
        <f>MOD(N47-M47,1)</f>
        <v>0.090972222222222</v>
      </c>
      <c r="P47" s="41"/>
      <c r="Q47" s="21">
        <f>U47-N47</f>
        <v>0.019097222222222</v>
      </c>
      <c r="R47" s="41"/>
      <c r="S47" s="41"/>
      <c r="T47" s="41">
        <v>218</v>
      </c>
      <c r="U47" s="43">
        <v>0.827569444444443</v>
      </c>
      <c r="V47" s="43">
        <v>0.904166666666667</v>
      </c>
      <c r="W47" s="43">
        <f>MOD(V47-U47,1)</f>
        <v>0.076597222222224</v>
      </c>
      <c r="X47" s="26" t="s">
        <v>55</v>
      </c>
      <c r="Y47" s="54">
        <v>0.909722222222222</v>
      </c>
      <c r="Z47" s="20" t="s">
        <v>40</v>
      </c>
      <c r="AA47" s="41">
        <v>193</v>
      </c>
      <c r="AB47" s="27">
        <f>MOD(Y47-B47,1)</f>
        <v>0.319305555555556</v>
      </c>
      <c r="AC47" s="21">
        <f>G47+O47+W47</f>
        <v>0.26201388888889</v>
      </c>
      <c r="AD47" s="21">
        <f>I47+Q47</f>
        <v>0.041319444444444</v>
      </c>
      <c r="AE47" s="43"/>
      <c r="AF47" s="41" t="s">
        <v>69</v>
      </c>
      <c r="AG47" s="40"/>
    </row>
    <row r="48" ht="18.95" customHeight="1" spans="1:65">
      <c r="A48" s="32">
        <v>41</v>
      </c>
      <c r="B48" s="33">
        <v>0.59375</v>
      </c>
      <c r="C48" s="32" t="s">
        <v>32</v>
      </c>
      <c r="D48" s="38">
        <v>215</v>
      </c>
      <c r="E48" s="47">
        <v>0.60625</v>
      </c>
      <c r="F48" s="37">
        <v>0.678611111111111</v>
      </c>
      <c r="G48" s="37">
        <f>MOD(F48-E48,1)</f>
        <v>0.0723611111111111</v>
      </c>
      <c r="H48" s="38"/>
      <c r="I48" s="33">
        <f>M48-F48</f>
        <v>0.065277777777778</v>
      </c>
      <c r="J48" s="38"/>
      <c r="K48" s="38"/>
      <c r="L48" s="38">
        <v>214</v>
      </c>
      <c r="M48" s="37">
        <v>0.743888888888889</v>
      </c>
      <c r="N48" s="70">
        <v>0.812291666666666</v>
      </c>
      <c r="O48" s="37">
        <f>MOD(N48-M48,1)</f>
        <v>0.0684027777777769</v>
      </c>
      <c r="P48" s="38"/>
      <c r="Q48" s="33">
        <f>U48-N48</f>
        <v>0.019097222222222</v>
      </c>
      <c r="R48" s="38"/>
      <c r="S48" s="38"/>
      <c r="T48" s="38">
        <v>220</v>
      </c>
      <c r="U48" s="37">
        <v>0.831388888888888</v>
      </c>
      <c r="V48" s="37">
        <v>0.897222222222222</v>
      </c>
      <c r="W48" s="37">
        <f>MOD(V48-U48,1)</f>
        <v>0.0658333333333341</v>
      </c>
      <c r="X48" s="48" t="s">
        <v>42</v>
      </c>
      <c r="Y48" s="55">
        <v>0.902777777777778</v>
      </c>
      <c r="Z48" s="32" t="s">
        <v>46</v>
      </c>
      <c r="AA48" s="38">
        <v>152</v>
      </c>
      <c r="AB48" s="39">
        <f>MOD(Y48-B48,1)</f>
        <v>0.309027777777778</v>
      </c>
      <c r="AC48" s="33">
        <f>G48+O48+W48</f>
        <v>0.206597222222222</v>
      </c>
      <c r="AD48" s="33">
        <f>I48+Q48</f>
        <v>0.084375</v>
      </c>
      <c r="AE48" s="37"/>
      <c r="AF48" s="38">
        <v>41</v>
      </c>
      <c r="AG48" s="40"/>
    </row>
    <row r="49" ht="18.95" customHeight="1" spans="1:65">
      <c r="A49" s="20">
        <v>42</v>
      </c>
      <c r="B49" s="21">
        <v>0.59375</v>
      </c>
      <c r="C49" s="20"/>
      <c r="D49" s="41">
        <v>206</v>
      </c>
      <c r="E49" s="43">
        <v>0.606388888888888</v>
      </c>
      <c r="F49" s="43">
        <v>0.700833333333333</v>
      </c>
      <c r="G49" s="43">
        <f>MOD(F49-E49,1)</f>
        <v>0.094444444444445</v>
      </c>
      <c r="H49" s="41"/>
      <c r="I49" s="21">
        <f>M49-F49</f>
        <v>0.021527777777778</v>
      </c>
      <c r="J49" s="41"/>
      <c r="K49" s="25"/>
      <c r="L49" s="41">
        <v>209</v>
      </c>
      <c r="M49" s="43">
        <v>0.722361111111111</v>
      </c>
      <c r="N49" s="43">
        <v>0.81611111111111</v>
      </c>
      <c r="O49" s="43">
        <f>MOD(N49-M49,1)</f>
        <v>0.093749999999999</v>
      </c>
      <c r="P49" s="41"/>
      <c r="Q49" s="21">
        <f>U49-N49</f>
        <v>0.022916666666667</v>
      </c>
      <c r="R49" s="41"/>
      <c r="S49" s="41"/>
      <c r="T49" s="41">
        <v>201</v>
      </c>
      <c r="U49" s="43">
        <v>0.839027777777777</v>
      </c>
      <c r="V49" s="43">
        <v>0.902777777777778</v>
      </c>
      <c r="W49" s="43">
        <f>MOD(V49-U49,1)</f>
        <v>0.063750000000001</v>
      </c>
      <c r="X49" s="26" t="s">
        <v>42</v>
      </c>
      <c r="Y49" s="54">
        <v>0.909722222222222</v>
      </c>
      <c r="Z49" s="20" t="s">
        <v>46</v>
      </c>
      <c r="AA49" s="41">
        <v>183</v>
      </c>
      <c r="AB49" s="27">
        <f>MOD(Y49-B49,1)</f>
        <v>0.315972222222222</v>
      </c>
      <c r="AC49" s="21">
        <f>G49+O49+W49</f>
        <v>0.251944444444445</v>
      </c>
      <c r="AD49" s="21">
        <f>I49+Q49</f>
        <v>0.0444444444444451</v>
      </c>
      <c r="AE49" s="43"/>
      <c r="AF49" s="41" t="s">
        <v>70</v>
      </c>
      <c r="AG49" s="40"/>
    </row>
    <row r="50" ht="18.95" customHeight="1" spans="1:65">
      <c r="A50" s="32">
        <v>43</v>
      </c>
      <c r="B50" s="33">
        <v>0.600694444444444</v>
      </c>
      <c r="C50" s="32"/>
      <c r="D50" s="38">
        <v>207</v>
      </c>
      <c r="E50" s="37">
        <v>0.611944444444444</v>
      </c>
      <c r="F50" s="37">
        <v>0.706388888888888</v>
      </c>
      <c r="G50" s="37">
        <f>MOD(F50-E50,1)</f>
        <v>0.094444444444444</v>
      </c>
      <c r="H50" s="38"/>
      <c r="I50" s="33">
        <f>M50-F50</f>
        <v>0.021527777777778</v>
      </c>
      <c r="J50" s="59"/>
      <c r="K50" s="38"/>
      <c r="L50" s="38">
        <v>210</v>
      </c>
      <c r="M50" s="37">
        <v>0.727916666666666</v>
      </c>
      <c r="N50" s="37">
        <v>0.797013888888888</v>
      </c>
      <c r="O50" s="37">
        <f>MOD(N50-M50,1)</f>
        <v>0.069097222222222</v>
      </c>
      <c r="P50" s="38"/>
      <c r="Q50" s="33">
        <f>U50-N50</f>
        <v>0.019097222222222</v>
      </c>
      <c r="R50" s="59"/>
      <c r="S50" s="38"/>
      <c r="T50" s="38">
        <v>209</v>
      </c>
      <c r="U50" s="37">
        <v>0.81611111111111</v>
      </c>
      <c r="V50" s="37">
        <v>0.906388888888887</v>
      </c>
      <c r="W50" s="37">
        <f>MOD(V50-U50,1)</f>
        <v>0.090277777777777</v>
      </c>
      <c r="X50" s="48"/>
      <c r="Y50" s="55">
        <v>0.909722222222222</v>
      </c>
      <c r="Z50" s="32" t="s">
        <v>19</v>
      </c>
      <c r="AA50" s="38">
        <v>186</v>
      </c>
      <c r="AB50" s="39">
        <f>MOD(Y50-B50,1)</f>
        <v>0.309027777777778</v>
      </c>
      <c r="AC50" s="33">
        <f>G50+O50+W50</f>
        <v>0.253819444444443</v>
      </c>
      <c r="AD50" s="33">
        <f>I50+Q50</f>
        <v>0.040625</v>
      </c>
      <c r="AE50" s="37"/>
      <c r="AF50" s="38" t="s">
        <v>71</v>
      </c>
      <c r="AG50" s="40"/>
    </row>
    <row r="51" s="7" customFormat="1" ht="18.95" customHeight="1" spans="1:65">
      <c r="A51" s="20">
        <v>44</v>
      </c>
      <c r="B51" s="21">
        <v>0.604166666666667</v>
      </c>
      <c r="C51" s="20"/>
      <c r="D51" s="41">
        <v>208</v>
      </c>
      <c r="E51" s="43">
        <v>0.617499999999999</v>
      </c>
      <c r="F51" s="43">
        <v>0.71125</v>
      </c>
      <c r="G51" s="43">
        <f>MOD(F51-E51,1)</f>
        <v>0.093750000000001</v>
      </c>
      <c r="H51" s="41"/>
      <c r="I51" s="21">
        <f>M51-F51</f>
        <v>0.0222222222222219</v>
      </c>
      <c r="J51" s="41"/>
      <c r="K51" s="41"/>
      <c r="L51" s="41">
        <v>219</v>
      </c>
      <c r="M51" s="43">
        <v>0.733472222222222</v>
      </c>
      <c r="N51" s="43">
        <v>0.823749999999999</v>
      </c>
      <c r="O51" s="43">
        <f>MOD(N51-M51,1)</f>
        <v>0.090277777777777</v>
      </c>
      <c r="P51" s="41"/>
      <c r="Q51" s="21">
        <f>U51-N51</f>
        <v>0.022916666666666</v>
      </c>
      <c r="R51" s="41"/>
      <c r="S51" s="44"/>
      <c r="T51" s="41">
        <v>213</v>
      </c>
      <c r="U51" s="43">
        <v>0.846666666666665</v>
      </c>
      <c r="V51" s="43">
        <v>0.875</v>
      </c>
      <c r="W51" s="43">
        <f>MOD(V51-U51,1)</f>
        <v>0.028333333333335</v>
      </c>
      <c r="X51" s="26" t="s">
        <v>27</v>
      </c>
      <c r="Y51" s="54">
        <v>0.885416666666667</v>
      </c>
      <c r="Z51" s="20" t="s">
        <v>28</v>
      </c>
      <c r="AA51" s="41">
        <v>138</v>
      </c>
      <c r="AB51" s="27">
        <f>MOD(Y51-B51,1)</f>
        <v>0.28125</v>
      </c>
      <c r="AC51" s="21">
        <f>G51+O51+W51</f>
        <v>0.212361111111113</v>
      </c>
      <c r="AD51" s="21">
        <f>I51+Q51</f>
        <v>0.045138888888888</v>
      </c>
      <c r="AE51" s="43"/>
      <c r="AF51" s="41">
        <v>44</v>
      </c>
      <c r="AG51" s="40"/>
      <c r="AP51" s="30"/>
      <c r="AQ51" s="30"/>
      <c r="AR51" s="30"/>
      <c r="AS51" s="30"/>
    </row>
    <row r="52" s="7" customFormat="1" ht="18.95" customHeight="1" spans="1:65">
      <c r="A52" s="32">
        <v>45</v>
      </c>
      <c r="B52" s="33">
        <v>0.611111111111111</v>
      </c>
      <c r="C52" s="32"/>
      <c r="D52" s="38">
        <v>217</v>
      </c>
      <c r="E52" s="37">
        <v>0.623055555555555</v>
      </c>
      <c r="F52" s="37">
        <v>0.717499999999999</v>
      </c>
      <c r="G52" s="37">
        <f>MOD(F52-E52,1)</f>
        <v>0.094444444444444</v>
      </c>
      <c r="H52" s="38"/>
      <c r="I52" s="33">
        <f>M52-F52</f>
        <v>0.0194444444444449</v>
      </c>
      <c r="J52" s="59"/>
      <c r="K52" s="66"/>
      <c r="L52" s="38">
        <v>202</v>
      </c>
      <c r="M52" s="37">
        <v>0.736944444444444</v>
      </c>
      <c r="N52" s="37">
        <v>0.804652777777777</v>
      </c>
      <c r="O52" s="37">
        <f>MOD(N52-M52,1)</f>
        <v>0.067708333333333</v>
      </c>
      <c r="P52" s="38"/>
      <c r="Q52" s="33">
        <f>U52-N52</f>
        <v>0.019097222222222</v>
      </c>
      <c r="R52" s="59"/>
      <c r="S52" s="49"/>
      <c r="T52" s="38">
        <v>219</v>
      </c>
      <c r="U52" s="37">
        <v>0.823749999999999</v>
      </c>
      <c r="V52" s="37">
        <v>0.854166666666667</v>
      </c>
      <c r="W52" s="37">
        <f>MOD(V52-U52,1)</f>
        <v>0.030416666666668</v>
      </c>
      <c r="X52" s="48" t="s">
        <v>27</v>
      </c>
      <c r="Y52" s="55">
        <v>0.864583333333333</v>
      </c>
      <c r="Z52" s="32" t="s">
        <v>28</v>
      </c>
      <c r="AA52" s="38">
        <v>120</v>
      </c>
      <c r="AB52" s="39">
        <f>MOD(Y52-B52,1)</f>
        <v>0.253472222222222</v>
      </c>
      <c r="AC52" s="33">
        <f>G52+O52+W52</f>
        <v>0.192569444444445</v>
      </c>
      <c r="AD52" s="33">
        <f>I52+Q52</f>
        <v>0.0385416666666669</v>
      </c>
      <c r="AE52" s="37"/>
      <c r="AF52" s="38">
        <v>45</v>
      </c>
      <c r="AG52" s="40"/>
      <c r="AP52" s="30"/>
      <c r="AQ52" s="30"/>
      <c r="AR52" s="30"/>
      <c r="AS52" s="30"/>
    </row>
    <row r="53" s="4" customFormat="1" ht="18.95" customHeight="1" spans="1:65">
      <c r="A53" s="20">
        <v>46</v>
      </c>
      <c r="B53" s="21">
        <f>E53-TIME(0,15,0)</f>
        <v>0.618194444444444</v>
      </c>
      <c r="C53" s="20"/>
      <c r="D53" s="41">
        <v>209</v>
      </c>
      <c r="E53" s="43">
        <v>0.628611111111111</v>
      </c>
      <c r="F53" s="43">
        <v>0.722361111111111</v>
      </c>
      <c r="G53" s="43">
        <f>MOD(F53-E53,1)</f>
        <v>0.09375</v>
      </c>
      <c r="H53" s="41"/>
      <c r="I53" s="21">
        <f>M53-F53</f>
        <v>0.0180555555555549</v>
      </c>
      <c r="J53" s="71"/>
      <c r="K53" s="44"/>
      <c r="L53" s="41">
        <v>220</v>
      </c>
      <c r="M53" s="43">
        <v>0.740416666666666</v>
      </c>
      <c r="N53" s="43">
        <v>0.831388888888888</v>
      </c>
      <c r="O53" s="43">
        <f>MOD(N53-M53,1)</f>
        <v>0.090972222222222</v>
      </c>
      <c r="P53" s="41"/>
      <c r="Q53" s="21">
        <f>U53-N53</f>
        <v>0.022777777777779</v>
      </c>
      <c r="R53" s="71"/>
      <c r="S53" s="44"/>
      <c r="T53" s="41">
        <v>212</v>
      </c>
      <c r="U53" s="43">
        <v>0.854166666666667</v>
      </c>
      <c r="V53" s="43">
        <v>0.881944444444445</v>
      </c>
      <c r="W53" s="43">
        <f>MOD(V53-U53,1)</f>
        <v>0.027777777777778</v>
      </c>
      <c r="X53" s="26" t="s">
        <v>27</v>
      </c>
      <c r="Y53" s="54">
        <v>0.888888888888889</v>
      </c>
      <c r="Z53" s="20" t="s">
        <v>28</v>
      </c>
      <c r="AA53" s="41">
        <v>138</v>
      </c>
      <c r="AB53" s="27">
        <f>MOD(Y53-B53,1)</f>
        <v>0.270694444444445</v>
      </c>
      <c r="AC53" s="21">
        <f>G53+O53+W53</f>
        <v>0.2125</v>
      </c>
      <c r="AD53" s="21">
        <f>I53+Q53</f>
        <v>0.0408333333333339</v>
      </c>
      <c r="AE53" s="43"/>
      <c r="AF53" s="41">
        <v>46</v>
      </c>
      <c r="AG53" s="4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ht="18.95" customHeight="1" spans="1:65">
      <c r="A54" s="72">
        <v>47</v>
      </c>
      <c r="B54" s="33">
        <v>0.621527777777778</v>
      </c>
      <c r="C54" s="32"/>
      <c r="D54" s="38">
        <v>210</v>
      </c>
      <c r="E54" s="37">
        <v>0.634166666666666</v>
      </c>
      <c r="F54" s="37">
        <v>0.727916666666666</v>
      </c>
      <c r="G54" s="37">
        <f>MOD(F54-E54,1)</f>
        <v>0.09375</v>
      </c>
      <c r="H54" s="38"/>
      <c r="I54" s="33">
        <f>M54-F54</f>
        <v>0.019444444444444</v>
      </c>
      <c r="J54" s="59"/>
      <c r="K54" s="66"/>
      <c r="L54" s="38">
        <v>201</v>
      </c>
      <c r="M54" s="37">
        <v>0.74736111111111</v>
      </c>
      <c r="N54" s="37">
        <v>0.839027777777777</v>
      </c>
      <c r="O54" s="37">
        <f>MOD(N54-M54,1)</f>
        <v>0.091666666666667</v>
      </c>
      <c r="P54" s="38"/>
      <c r="Q54" s="33">
        <f>U54-N54</f>
        <v>0.019097222222222</v>
      </c>
      <c r="R54" s="59"/>
      <c r="S54" s="49"/>
      <c r="T54" s="38">
        <v>221</v>
      </c>
      <c r="U54" s="37">
        <v>0.858124999999999</v>
      </c>
      <c r="V54" s="47">
        <v>0.891666666666667</v>
      </c>
      <c r="W54" s="37">
        <f>MOD(V54-U54,1)</f>
        <v>0.033541666666668</v>
      </c>
      <c r="X54" s="48" t="s">
        <v>24</v>
      </c>
      <c r="Y54" s="55">
        <v>0.895833333333333</v>
      </c>
      <c r="Z54" s="32" t="s">
        <v>40</v>
      </c>
      <c r="AA54" s="38">
        <v>160</v>
      </c>
      <c r="AB54" s="39">
        <f>MOD(Y54-B54,1)</f>
        <v>0.274305555555555</v>
      </c>
      <c r="AC54" s="33">
        <f>G54+O54+W54</f>
        <v>0.218958333333335</v>
      </c>
      <c r="AD54" s="33">
        <f>I54+Q54</f>
        <v>0.038541666666666</v>
      </c>
      <c r="AE54" s="37"/>
      <c r="AF54" s="38" t="s">
        <v>72</v>
      </c>
      <c r="AG54" s="40"/>
    </row>
    <row r="55" s="6" customFormat="1" ht="18.95" customHeight="1" spans="1:65">
      <c r="A55" s="20"/>
      <c r="B55" s="21"/>
      <c r="C55" s="20"/>
      <c r="D55" s="41"/>
      <c r="E55" s="43"/>
      <c r="F55" s="43"/>
      <c r="G55" s="43"/>
      <c r="H55" s="41"/>
      <c r="I55" s="21"/>
      <c r="J55" s="71"/>
      <c r="K55" s="25"/>
      <c r="L55" s="41"/>
      <c r="M55" s="43"/>
      <c r="N55" s="43"/>
      <c r="O55" s="43"/>
      <c r="P55" s="41"/>
      <c r="Q55" s="21"/>
      <c r="R55" s="71"/>
      <c r="S55" s="44"/>
      <c r="T55" s="41"/>
      <c r="U55" s="43"/>
      <c r="V55" s="42"/>
      <c r="W55" s="43"/>
      <c r="X55" s="26"/>
      <c r="Y55" s="54"/>
      <c r="Z55" s="20"/>
      <c r="AA55" s="41"/>
      <c r="AB55" s="27"/>
      <c r="AC55" s="21"/>
      <c r="AD55" s="21"/>
      <c r="AE55" s="43"/>
      <c r="AF55" s="41"/>
      <c r="AG55" s="4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</row>
    <row r="56" s="4" customFormat="1" ht="18.95" customHeight="1" spans="1:65">
      <c r="A56" s="32">
        <v>48</v>
      </c>
      <c r="B56" s="33">
        <v>0.625</v>
      </c>
      <c r="C56" s="32"/>
      <c r="D56" s="38">
        <v>219</v>
      </c>
      <c r="E56" s="37">
        <v>0.639722222222222</v>
      </c>
      <c r="F56" s="37">
        <v>0.733472222222222</v>
      </c>
      <c r="G56" s="37">
        <f>MOD(F56-E56,1)</f>
        <v>0.09375</v>
      </c>
      <c r="H56" s="38"/>
      <c r="I56" s="33">
        <f>M56-F56</f>
        <v>0.017708333333333</v>
      </c>
      <c r="J56" s="38"/>
      <c r="K56" s="38"/>
      <c r="L56" s="38">
        <v>211</v>
      </c>
      <c r="M56" s="37">
        <v>0.751180555555555</v>
      </c>
      <c r="N56" s="37">
        <v>0.819930555555555</v>
      </c>
      <c r="O56" s="37">
        <f>MOD(N56-M56,1)</f>
        <v>0.0687500000000001</v>
      </c>
      <c r="P56" s="38"/>
      <c r="Q56" s="33">
        <f>U56-N56</f>
        <v>0.0229166666666659</v>
      </c>
      <c r="R56" s="38"/>
      <c r="S56" s="49"/>
      <c r="T56" s="38">
        <v>203</v>
      </c>
      <c r="U56" s="37">
        <v>0.842847222222221</v>
      </c>
      <c r="V56" s="37">
        <v>0.909722222222222</v>
      </c>
      <c r="W56" s="37">
        <f>MOD(V56-U56,1)</f>
        <v>0.066875000000001</v>
      </c>
      <c r="X56" s="48" t="s">
        <v>42</v>
      </c>
      <c r="Y56" s="55">
        <v>0.913194444444445</v>
      </c>
      <c r="Z56" s="32" t="s">
        <v>46</v>
      </c>
      <c r="AA56" s="38">
        <v>165</v>
      </c>
      <c r="AB56" s="39">
        <f>MOD(Y56-B56,1)</f>
        <v>0.288194444444445</v>
      </c>
      <c r="AC56" s="33">
        <f>G56+O56+W56</f>
        <v>0.229375000000001</v>
      </c>
      <c r="AD56" s="33">
        <f>I56+Q56</f>
        <v>0.0406249999999989</v>
      </c>
      <c r="AE56" s="37"/>
      <c r="AF56" s="38" t="s">
        <v>73</v>
      </c>
      <c r="AG56" s="4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</row>
    <row r="57" s="6" customFormat="1" ht="18.95" customHeight="1" spans="1:65">
      <c r="A57" s="20">
        <v>49</v>
      </c>
      <c r="B57" s="21">
        <v>0.631944444444444</v>
      </c>
      <c r="C57" s="20"/>
      <c r="D57" s="41">
        <v>220</v>
      </c>
      <c r="E57" s="43">
        <v>0.645277777777777</v>
      </c>
      <c r="F57" s="43">
        <v>0.740416666666666</v>
      </c>
      <c r="G57" s="43">
        <f>MOD(F57-E57,1)</f>
        <v>0.095138888888889</v>
      </c>
      <c r="H57" s="41"/>
      <c r="I57" s="21">
        <f>M57-F57</f>
        <v>0.0184027777777781</v>
      </c>
      <c r="J57" s="41"/>
      <c r="K57" s="41"/>
      <c r="L57" s="41">
        <v>218</v>
      </c>
      <c r="M57" s="43">
        <v>0.758819444444444</v>
      </c>
      <c r="N57" s="43">
        <v>0.827569444444443</v>
      </c>
      <c r="O57" s="43">
        <f>MOD(N57-M57,1)</f>
        <v>0.068749999999999</v>
      </c>
      <c r="P57" s="41"/>
      <c r="Q57" s="21">
        <f>U57-N57</f>
        <v>0.022916666666667</v>
      </c>
      <c r="R57" s="41"/>
      <c r="S57" s="44"/>
      <c r="T57" s="41">
        <v>208</v>
      </c>
      <c r="U57" s="43">
        <v>0.85048611111111</v>
      </c>
      <c r="V57" s="42">
        <v>0.898611111111111</v>
      </c>
      <c r="W57" s="43">
        <f>MOD(V57-U57,1)</f>
        <v>0.048125000000001</v>
      </c>
      <c r="X57" s="26" t="s">
        <v>45</v>
      </c>
      <c r="Y57" s="54">
        <v>0.902777777777778</v>
      </c>
      <c r="Z57" s="20" t="s">
        <v>46</v>
      </c>
      <c r="AA57" s="41">
        <v>152</v>
      </c>
      <c r="AB57" s="27">
        <f>MOD(Y57-B57,1)</f>
        <v>0.270833333333334</v>
      </c>
      <c r="AC57" s="21">
        <f>G57+O57+W57</f>
        <v>0.212013888888889</v>
      </c>
      <c r="AD57" s="21">
        <f>I57+Q57</f>
        <v>0.0413194444444451</v>
      </c>
      <c r="AE57" s="43"/>
      <c r="AF57" s="41">
        <v>49</v>
      </c>
      <c r="AG57" s="4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</row>
    <row r="58" s="4" customFormat="1" ht="18.95" customHeight="1" spans="1:65">
      <c r="A58" s="72">
        <v>50</v>
      </c>
      <c r="B58" s="33">
        <f>E58-TIME(0,15,0)</f>
        <v>0.645972222222222</v>
      </c>
      <c r="C58" s="32"/>
      <c r="D58" s="38">
        <v>202</v>
      </c>
      <c r="E58" s="37">
        <v>0.656388888888889</v>
      </c>
      <c r="F58" s="37">
        <v>0.736944444444444</v>
      </c>
      <c r="G58" s="37">
        <f>MOD(F58-E58,1)</f>
        <v>0.0805555555555549</v>
      </c>
      <c r="H58" s="38"/>
      <c r="I58" s="33">
        <f>M58-F58</f>
        <v>0.018055555555555</v>
      </c>
      <c r="J58" s="38"/>
      <c r="K58" s="73"/>
      <c r="L58" s="38">
        <v>213</v>
      </c>
      <c r="M58" s="37">
        <v>0.754999999999999</v>
      </c>
      <c r="N58" s="37">
        <v>0.846666666666665</v>
      </c>
      <c r="O58" s="37">
        <f>MOD(N58-M58,1)</f>
        <v>0.091666666666666</v>
      </c>
      <c r="P58" s="38"/>
      <c r="Q58" s="33">
        <f>U58-N58</f>
        <v>0.019097222222223</v>
      </c>
      <c r="R58" s="38"/>
      <c r="S58" s="49"/>
      <c r="T58" s="38">
        <v>210</v>
      </c>
      <c r="U58" s="37">
        <v>0.865763888888888</v>
      </c>
      <c r="V58" s="47">
        <v>0.898611111111111</v>
      </c>
      <c r="W58" s="37">
        <f>MOD(V58-U58,1)</f>
        <v>0.032847222222223</v>
      </c>
      <c r="X58" s="48" t="s">
        <v>24</v>
      </c>
      <c r="Y58" s="55">
        <v>0.902777777777778</v>
      </c>
      <c r="Z58" s="32" t="s">
        <v>40</v>
      </c>
      <c r="AA58" s="38">
        <v>147</v>
      </c>
      <c r="AB58" s="39">
        <f>MOD(Y58-B58,1)</f>
        <v>0.256805555555556</v>
      </c>
      <c r="AC58" s="33">
        <f>G58+O58+W58</f>
        <v>0.205069444444444</v>
      </c>
      <c r="AD58" s="33">
        <f>I58+Q58</f>
        <v>0.037152777777778</v>
      </c>
      <c r="AE58" s="37"/>
      <c r="AF58" s="38">
        <v>50</v>
      </c>
      <c r="AG58" s="4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</row>
    <row r="59" s="6" customFormat="1" ht="18.95" customHeight="1" spans="1:65">
      <c r="A59" s="72">
        <v>51</v>
      </c>
      <c r="B59" s="21">
        <v>0.645833333333333</v>
      </c>
      <c r="C59" s="20" t="s">
        <v>55</v>
      </c>
      <c r="D59" s="41">
        <v>212</v>
      </c>
      <c r="E59" s="43">
        <v>0.656944444444444</v>
      </c>
      <c r="F59" s="43">
        <v>0.672361111111111</v>
      </c>
      <c r="G59" s="43">
        <f>MOD(F59-E59,1)</f>
        <v>0.015416666666667</v>
      </c>
      <c r="H59" s="41"/>
      <c r="I59" s="21">
        <f>M59-F59</f>
        <v>0.0118055555555551</v>
      </c>
      <c r="J59" s="41"/>
      <c r="K59" s="44"/>
      <c r="L59" s="41">
        <v>204</v>
      </c>
      <c r="M59" s="43">
        <v>0.684166666666666</v>
      </c>
      <c r="N59" s="43">
        <v>0.777916666666666</v>
      </c>
      <c r="O59" s="43">
        <f>MOD(N59-M59,1)</f>
        <v>0.09375</v>
      </c>
      <c r="P59" s="41"/>
      <c r="Q59" s="21">
        <f>U59-N59</f>
        <v>0.019097222222222</v>
      </c>
      <c r="R59" s="41"/>
      <c r="S59" s="44"/>
      <c r="T59" s="41">
        <v>210</v>
      </c>
      <c r="U59" s="43">
        <v>0.797013888888888</v>
      </c>
      <c r="V59" s="43">
        <v>0.865763888888888</v>
      </c>
      <c r="W59" s="43">
        <f>MOD(V59-U59,1)</f>
        <v>0.06875</v>
      </c>
      <c r="X59" s="26"/>
      <c r="Y59" s="54">
        <v>0.875</v>
      </c>
      <c r="Z59" s="20" t="s">
        <v>19</v>
      </c>
      <c r="AA59" s="41">
        <v>129</v>
      </c>
      <c r="AB59" s="27">
        <f>MOD(Y59-B59,1)</f>
        <v>0.229166666666667</v>
      </c>
      <c r="AC59" s="21">
        <f>G59+O59+W59</f>
        <v>0.177916666666667</v>
      </c>
      <c r="AD59" s="21">
        <f>I59+Q59</f>
        <v>0.0309027777777771</v>
      </c>
      <c r="AE59" s="43"/>
      <c r="AF59" s="41">
        <v>51</v>
      </c>
      <c r="AG59" s="4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</row>
    <row r="60" s="4" customFormat="1" ht="18.95" customHeight="1" spans="1:65">
      <c r="A60" s="32">
        <v>52</v>
      </c>
      <c r="B60" s="33">
        <f>E60-TIME(0,15,0)</f>
        <v>0.649305555555555</v>
      </c>
      <c r="C60" s="32" t="s">
        <v>37</v>
      </c>
      <c r="D60" s="38">
        <v>211</v>
      </c>
      <c r="E60" s="37">
        <v>0.659722222222222</v>
      </c>
      <c r="F60" s="37">
        <v>0.750694444444444</v>
      </c>
      <c r="G60" s="37">
        <f>MOD(F60-E60,1)</f>
        <v>0.090972222222222</v>
      </c>
      <c r="H60" s="38"/>
      <c r="I60" s="33">
        <f>M60-F60</f>
        <v>0.019583333333333</v>
      </c>
      <c r="J60" s="38"/>
      <c r="K60" s="37"/>
      <c r="L60" s="38">
        <v>215</v>
      </c>
      <c r="M60" s="37">
        <v>0.770277777777777</v>
      </c>
      <c r="N60" s="37">
        <v>0.861944444444443</v>
      </c>
      <c r="O60" s="37">
        <f>MOD(N60-M60,1)</f>
        <v>0.091666666666666</v>
      </c>
      <c r="P60" s="38"/>
      <c r="Q60" s="33">
        <f>U60-N60</f>
        <v>0.0152777777777781</v>
      </c>
      <c r="R60" s="38"/>
      <c r="S60" s="49"/>
      <c r="T60" s="38">
        <v>216</v>
      </c>
      <c r="U60" s="37">
        <v>0.877222222222221</v>
      </c>
      <c r="V60" s="47">
        <v>0.9</v>
      </c>
      <c r="W60" s="37">
        <f>MOD(V60-U60,1)</f>
        <v>0.022777777777779</v>
      </c>
      <c r="X60" s="48" t="s">
        <v>32</v>
      </c>
      <c r="Y60" s="33">
        <v>0.902777777777778</v>
      </c>
      <c r="Z60" s="32" t="s">
        <v>19</v>
      </c>
      <c r="AA60" s="38">
        <v>126</v>
      </c>
      <c r="AB60" s="39">
        <f>MOD(Y60-B60,1)</f>
        <v>0.253472222222223</v>
      </c>
      <c r="AC60" s="33">
        <f>G60+O60+W60</f>
        <v>0.205416666666667</v>
      </c>
      <c r="AD60" s="33">
        <f>I60+Q60</f>
        <v>0.034861111111111</v>
      </c>
      <c r="AE60" s="37"/>
      <c r="AF60" s="38">
        <v>52</v>
      </c>
      <c r="AG60" s="4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</row>
    <row r="61" s="6" customFormat="1" ht="18.95" customHeight="1" spans="1:65">
      <c r="A61" s="20">
        <v>53</v>
      </c>
      <c r="B61" s="21">
        <v>0.649305555555556</v>
      </c>
      <c r="C61" s="20"/>
      <c r="D61" s="41">
        <v>213</v>
      </c>
      <c r="E61" s="43">
        <v>0.661944444444444</v>
      </c>
      <c r="F61" s="43">
        <v>0.754999999999999</v>
      </c>
      <c r="G61" s="43">
        <f>MOD(F61-E61,1)</f>
        <v>0.093055555555555</v>
      </c>
      <c r="H61" s="41"/>
      <c r="I61" s="21">
        <f>M61-F61</f>
        <v>0.019097222222223</v>
      </c>
      <c r="J61" s="41"/>
      <c r="K61" s="41"/>
      <c r="L61" s="41">
        <v>203</v>
      </c>
      <c r="M61" s="43">
        <v>0.774097222222222</v>
      </c>
      <c r="N61" s="43">
        <v>0.842847222222221</v>
      </c>
      <c r="O61" s="43">
        <f>MOD(N61-M61,1)</f>
        <v>0.068749999999999</v>
      </c>
      <c r="P61" s="41"/>
      <c r="Q61" s="21">
        <f>U61-N61</f>
        <v>0.019097222222222</v>
      </c>
      <c r="R61" s="41"/>
      <c r="S61" s="44"/>
      <c r="T61" s="41">
        <v>215</v>
      </c>
      <c r="U61" s="43">
        <v>0.861944444444443</v>
      </c>
      <c r="V61" s="43">
        <v>0.892361111111111</v>
      </c>
      <c r="W61" s="43">
        <f>MOD(V61-U61,1)</f>
        <v>0.0304166666666681</v>
      </c>
      <c r="X61" s="26" t="s">
        <v>27</v>
      </c>
      <c r="Y61" s="21">
        <v>0.899305555555555</v>
      </c>
      <c r="Z61" s="20" t="s">
        <v>28</v>
      </c>
      <c r="AA61" s="41">
        <v>120</v>
      </c>
      <c r="AB61" s="27">
        <f>MOD(Y61-B61,1)</f>
        <v>0.249999999999999</v>
      </c>
      <c r="AC61" s="21">
        <f>G61+O61+W61</f>
        <v>0.192222222222222</v>
      </c>
      <c r="AD61" s="21">
        <f>I61+Q61</f>
        <v>0.038194444444445</v>
      </c>
      <c r="AE61" s="43"/>
      <c r="AF61" s="41">
        <v>53</v>
      </c>
      <c r="AG61" s="4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</row>
    <row r="62" s="2" customFormat="1" ht="18.95" customHeight="1" spans="1:65">
      <c r="A62" s="32">
        <v>54</v>
      </c>
      <c r="B62" s="33">
        <f>E62-TIME(0,15,0)</f>
        <v>0.65625</v>
      </c>
      <c r="C62" s="32" t="s">
        <v>37</v>
      </c>
      <c r="D62" s="38">
        <v>218</v>
      </c>
      <c r="E62" s="37">
        <v>0.666666666666667</v>
      </c>
      <c r="F62" s="37">
        <v>0.758819444444444</v>
      </c>
      <c r="G62" s="37">
        <f>MOD(F62-E62,1)</f>
        <v>0.0921527777777771</v>
      </c>
      <c r="H62" s="38"/>
      <c r="I62" s="33">
        <f>M62-F62</f>
        <v>0.019097222222222</v>
      </c>
      <c r="J62" s="38"/>
      <c r="K62" s="74"/>
      <c r="L62" s="38">
        <v>204</v>
      </c>
      <c r="M62" s="37">
        <v>0.777916666666666</v>
      </c>
      <c r="N62" s="37">
        <v>0.869583333333332</v>
      </c>
      <c r="O62" s="37">
        <f>MOD(N62-M62,1)</f>
        <v>0.091666666666666</v>
      </c>
      <c r="P62" s="38"/>
      <c r="Q62" s="33">
        <f>U62-N62</f>
        <v>0.0152777777777779</v>
      </c>
      <c r="R62" s="38"/>
      <c r="S62" s="49"/>
      <c r="T62" s="38">
        <v>206</v>
      </c>
      <c r="U62" s="37">
        <v>0.88486111111111</v>
      </c>
      <c r="V62" s="47">
        <v>0.906944444444444</v>
      </c>
      <c r="W62" s="37">
        <f>MOD(V62-U62,1)</f>
        <v>0.022083333333334</v>
      </c>
      <c r="X62" s="48" t="s">
        <v>32</v>
      </c>
      <c r="Y62" s="33">
        <v>0.909722222222222</v>
      </c>
      <c r="Z62" s="32" t="s">
        <v>19</v>
      </c>
      <c r="AA62" s="38">
        <v>126</v>
      </c>
      <c r="AB62" s="39">
        <f>MOD(Y62-B62,1)</f>
        <v>0.253472222222222</v>
      </c>
      <c r="AC62" s="33">
        <f>G62+O62+W62</f>
        <v>0.205902777777777</v>
      </c>
      <c r="AD62" s="33">
        <f>I62+Q62</f>
        <v>0.0343749999999999</v>
      </c>
      <c r="AE62" s="37"/>
      <c r="AF62" s="38">
        <v>54</v>
      </c>
      <c r="AG62" s="40"/>
      <c r="AH62" s="7"/>
      <c r="AI62" s="7"/>
      <c r="AJ62" s="7"/>
      <c r="AK62" s="7"/>
      <c r="AL62" s="7"/>
      <c r="AM62" s="7"/>
      <c r="AN62" s="7"/>
      <c r="AO62" s="7"/>
      <c r="AP62" s="30"/>
      <c r="AQ62" s="30"/>
      <c r="AR62" s="30"/>
      <c r="AS62" s="30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="8" customFormat="1" ht="18.95" customHeight="1" spans="1:65">
      <c r="A63" s="20">
        <v>55</v>
      </c>
      <c r="B63" s="21">
        <v>0.659722222222222</v>
      </c>
      <c r="C63" s="20"/>
      <c r="D63" s="41">
        <v>212</v>
      </c>
      <c r="E63" s="43">
        <v>0.672361111111111</v>
      </c>
      <c r="F63" s="43">
        <v>0.762638888888888</v>
      </c>
      <c r="G63" s="43">
        <f>MOD(F63-E63,1)</f>
        <v>0.090277777777777</v>
      </c>
      <c r="H63" s="41"/>
      <c r="I63" s="21">
        <f>M63-F63</f>
        <v>0.019097222222222</v>
      </c>
      <c r="J63" s="41"/>
      <c r="K63" s="71"/>
      <c r="L63" s="41">
        <v>208</v>
      </c>
      <c r="M63" s="43">
        <v>0.78173611111111</v>
      </c>
      <c r="N63" s="43">
        <v>0.85048611111111</v>
      </c>
      <c r="O63" s="43">
        <f>MOD(N63-M63,1)</f>
        <v>0.0687500000000001</v>
      </c>
      <c r="P63" s="41"/>
      <c r="Q63" s="21">
        <f>U63-N63</f>
        <v>0.019097222222222</v>
      </c>
      <c r="R63" s="41"/>
      <c r="S63" s="44"/>
      <c r="T63" s="41">
        <v>204</v>
      </c>
      <c r="U63" s="43">
        <v>0.869583333333332</v>
      </c>
      <c r="V63" s="43">
        <v>0.895833333333333</v>
      </c>
      <c r="W63" s="43">
        <f>MOD(V63-U63,1)</f>
        <v>0.026250000000001</v>
      </c>
      <c r="X63" s="26" t="s">
        <v>27</v>
      </c>
      <c r="Y63" s="21">
        <v>0.902777777777778</v>
      </c>
      <c r="Z63" s="20" t="s">
        <v>28</v>
      </c>
      <c r="AA63" s="41">
        <v>120</v>
      </c>
      <c r="AB63" s="27">
        <f>MOD(Y63-B63,1)</f>
        <v>0.243055555555556</v>
      </c>
      <c r="AC63" s="21">
        <f>G63+O63+W63</f>
        <v>0.185277777777778</v>
      </c>
      <c r="AD63" s="21">
        <f>I63+Q63</f>
        <v>0.038194444444444</v>
      </c>
      <c r="AE63" s="43"/>
      <c r="AF63" s="41">
        <v>55</v>
      </c>
      <c r="AG63" s="40"/>
      <c r="AH63" s="7"/>
      <c r="AI63" s="7"/>
      <c r="AJ63" s="7"/>
      <c r="AK63" s="7"/>
      <c r="AL63" s="7"/>
      <c r="AM63" s="7"/>
      <c r="AN63" s="7"/>
      <c r="AO63" s="7"/>
      <c r="AP63" s="30"/>
      <c r="AQ63" s="30"/>
      <c r="AR63" s="30"/>
      <c r="AS63" s="30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="7" customFormat="1" ht="18.95" customHeight="1" spans="1:65">
      <c r="A64" s="32"/>
      <c r="B64" s="33"/>
      <c r="C64" s="32"/>
      <c r="D64" s="38"/>
      <c r="E64" s="37"/>
      <c r="F64" s="37"/>
      <c r="G64" s="37"/>
      <c r="H64" s="38"/>
      <c r="I64" s="33"/>
      <c r="J64" s="38"/>
      <c r="K64" s="59"/>
      <c r="L64" s="38"/>
      <c r="M64" s="37"/>
      <c r="N64" s="37"/>
      <c r="O64" s="37"/>
      <c r="P64" s="38"/>
      <c r="Q64" s="33"/>
      <c r="R64" s="38"/>
      <c r="S64" s="49"/>
      <c r="T64" s="38"/>
      <c r="U64" s="37"/>
      <c r="V64" s="37"/>
      <c r="W64" s="37"/>
      <c r="X64" s="48"/>
      <c r="Y64" s="33"/>
      <c r="Z64" s="32"/>
      <c r="AA64" s="38"/>
      <c r="AB64" s="39"/>
      <c r="AC64" s="33"/>
      <c r="AD64" s="33"/>
      <c r="AE64" s="37"/>
      <c r="AF64" s="38"/>
      <c r="AG64" s="40"/>
      <c r="AP64" s="30"/>
      <c r="AQ64" s="30"/>
      <c r="AR64" s="30"/>
      <c r="AS64" s="30"/>
    </row>
    <row r="65" s="4" customFormat="1" ht="18.95" customHeight="1" spans="1:65">
      <c r="A65" s="20">
        <v>56</v>
      </c>
      <c r="B65" s="21">
        <v>0.666666666666667</v>
      </c>
      <c r="C65" s="20"/>
      <c r="D65" s="41">
        <v>215</v>
      </c>
      <c r="E65" s="43">
        <v>0.678611111111111</v>
      </c>
      <c r="F65" s="43">
        <v>0.770277777777777</v>
      </c>
      <c r="G65" s="43">
        <f>MOD(F65-E65,1)</f>
        <v>0.0916666666666659</v>
      </c>
      <c r="H65" s="41"/>
      <c r="I65" s="21">
        <f>M65-F65</f>
        <v>0.0190972222222221</v>
      </c>
      <c r="J65" s="41"/>
      <c r="K65" s="71"/>
      <c r="L65" s="41">
        <v>221</v>
      </c>
      <c r="M65" s="43">
        <v>0.789374999999999</v>
      </c>
      <c r="N65" s="43">
        <v>0.858124999999999</v>
      </c>
      <c r="O65" s="43">
        <f>MOD(N65-M65,1)</f>
        <v>0.06875</v>
      </c>
      <c r="P65" s="41"/>
      <c r="Q65" s="21">
        <f>U65-N65</f>
        <v>0.0152777777777779</v>
      </c>
      <c r="R65" s="41"/>
      <c r="S65" s="44"/>
      <c r="T65" s="41">
        <v>202</v>
      </c>
      <c r="U65" s="43">
        <v>0.873402777777777</v>
      </c>
      <c r="V65" s="42">
        <v>0.905555555555556</v>
      </c>
      <c r="W65" s="43">
        <f>MOD(V65-U65,1)</f>
        <v>0.032152777777779</v>
      </c>
      <c r="X65" s="26" t="s">
        <v>24</v>
      </c>
      <c r="Y65" s="21">
        <v>0.909722222222222</v>
      </c>
      <c r="Z65" s="20" t="s">
        <v>40</v>
      </c>
      <c r="AA65" s="41">
        <v>142</v>
      </c>
      <c r="AB65" s="27">
        <f>MOD(Y65-B65,1)</f>
        <v>0.243055555555555</v>
      </c>
      <c r="AC65" s="21">
        <f>G65+O65+W65</f>
        <v>0.192569444444445</v>
      </c>
      <c r="AD65" s="21">
        <f>I65+Q65</f>
        <v>0.034375</v>
      </c>
      <c r="AE65" s="43"/>
      <c r="AF65" s="41">
        <v>56</v>
      </c>
      <c r="AG65" s="4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ht="18.95" customHeight="1" spans="1:65">
      <c r="A66" s="32">
        <v>57</v>
      </c>
      <c r="B66" s="33">
        <v>0.670138888888889</v>
      </c>
      <c r="C66" s="32" t="s">
        <v>37</v>
      </c>
      <c r="D66" s="38">
        <v>203</v>
      </c>
      <c r="E66" s="37">
        <v>0.680555555555555</v>
      </c>
      <c r="F66" s="37">
        <v>0.774097222222222</v>
      </c>
      <c r="G66" s="37">
        <f>MOD(F66-E66,1)</f>
        <v>0.093541666666667</v>
      </c>
      <c r="H66" s="38"/>
      <c r="I66" s="33">
        <f>M66-F66</f>
        <v>0.019097222222221</v>
      </c>
      <c r="J66" s="38"/>
      <c r="K66" s="38"/>
      <c r="L66" s="38">
        <v>206</v>
      </c>
      <c r="M66" s="37">
        <v>0.793194444444443</v>
      </c>
      <c r="N66" s="37">
        <v>0.88486111111111</v>
      </c>
      <c r="O66" s="37">
        <f>MOD(N66-M66,1)</f>
        <v>0.091666666666667</v>
      </c>
      <c r="P66" s="38"/>
      <c r="Q66" s="33"/>
      <c r="R66" s="38"/>
      <c r="S66" s="38"/>
      <c r="T66" s="38"/>
      <c r="U66" s="37"/>
      <c r="V66" s="37"/>
      <c r="W66" s="37"/>
      <c r="X66" s="48"/>
      <c r="Y66" s="33">
        <v>0.895833333333333</v>
      </c>
      <c r="Z66" s="32" t="s">
        <v>19</v>
      </c>
      <c r="AA66" s="38">
        <v>113</v>
      </c>
      <c r="AB66" s="39">
        <f>MOD(Y66-B66,1)</f>
        <v>0.225694444444444</v>
      </c>
      <c r="AC66" s="33">
        <f>G66+O66+W66</f>
        <v>0.185208333333334</v>
      </c>
      <c r="AD66" s="33">
        <f>I66+Q66</f>
        <v>0.019097222222221</v>
      </c>
      <c r="AE66" s="37"/>
      <c r="AF66" s="38">
        <v>57</v>
      </c>
      <c r="AG66" s="40"/>
    </row>
    <row r="67" s="4" customFormat="1" ht="18.95" customHeight="1" spans="1:65">
      <c r="A67" s="20">
        <v>58</v>
      </c>
      <c r="B67" s="21">
        <v>0.677083333333333</v>
      </c>
      <c r="C67" s="20"/>
      <c r="D67" s="41">
        <v>216</v>
      </c>
      <c r="E67" s="43">
        <v>0.689722222222222</v>
      </c>
      <c r="F67" s="43">
        <v>0.785555555555555</v>
      </c>
      <c r="G67" s="43">
        <f>MOD(F67-E67,1)</f>
        <v>0.095833333333333</v>
      </c>
      <c r="H67" s="41"/>
      <c r="I67" s="21">
        <f>M67-F67</f>
        <v>0.019097222222222</v>
      </c>
      <c r="J67" s="41"/>
      <c r="K67" s="25"/>
      <c r="L67" s="41">
        <v>202</v>
      </c>
      <c r="M67" s="43">
        <v>0.804652777777777</v>
      </c>
      <c r="N67" s="43">
        <v>0.873402777777777</v>
      </c>
      <c r="O67" s="43">
        <f>MOD(N67-M67,1)</f>
        <v>0.06875</v>
      </c>
      <c r="P67" s="41"/>
      <c r="Q67" s="21">
        <f>U67-N67</f>
        <v>0.019097222222222</v>
      </c>
      <c r="R67" s="41"/>
      <c r="S67" s="41"/>
      <c r="T67" s="41">
        <v>207</v>
      </c>
      <c r="U67" s="43">
        <v>0.892499999999999</v>
      </c>
      <c r="V67" s="42">
        <v>0.913888888888889</v>
      </c>
      <c r="W67" s="43">
        <f>MOD(V67-U67,1)</f>
        <v>0.02138888888889</v>
      </c>
      <c r="X67" s="26" t="s">
        <v>32</v>
      </c>
      <c r="Y67" s="21">
        <v>0.916666666666667</v>
      </c>
      <c r="Z67" s="20" t="s">
        <v>19</v>
      </c>
      <c r="AA67" s="41">
        <v>131</v>
      </c>
      <c r="AB67" s="27">
        <f>MOD(Y67-B67,1)</f>
        <v>0.239583333333334</v>
      </c>
      <c r="AC67" s="21">
        <f>G67+O67+W67</f>
        <v>0.185972222222223</v>
      </c>
      <c r="AD67" s="21">
        <f>I67+Q67</f>
        <v>0.038194444444444</v>
      </c>
      <c r="AE67" s="41"/>
      <c r="AF67" s="41">
        <v>58</v>
      </c>
      <c r="AG67" s="4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ht="18.95" customHeight="1" spans="1:65">
      <c r="A68" s="75"/>
      <c r="B68" s="76"/>
      <c r="C68" s="75"/>
      <c r="D68" s="57"/>
      <c r="E68" s="77"/>
      <c r="F68" s="77"/>
      <c r="G68" s="37"/>
      <c r="H68" s="78"/>
      <c r="I68" s="76"/>
      <c r="J68" s="57"/>
      <c r="K68" s="57"/>
      <c r="L68" s="57"/>
      <c r="M68" s="77"/>
      <c r="N68" s="77"/>
      <c r="O68" s="77"/>
      <c r="P68" s="57"/>
      <c r="Q68" s="76"/>
      <c r="R68" s="57"/>
      <c r="S68" s="79"/>
      <c r="T68" s="80"/>
      <c r="U68" s="81"/>
      <c r="V68" s="81"/>
      <c r="W68" s="81"/>
      <c r="X68" s="78"/>
      <c r="Y68" s="82"/>
      <c r="Z68" s="57"/>
      <c r="AA68" s="57"/>
      <c r="AB68" s="39"/>
      <c r="AC68" s="33"/>
      <c r="AD68" s="33"/>
      <c r="AE68" s="37"/>
      <c r="AF68" s="38"/>
      <c r="AG68" s="40"/>
    </row>
    <row r="69" s="4" customFormat="1" ht="18.95" customHeight="1" spans="1:65">
      <c r="A69" s="20">
        <v>59</v>
      </c>
      <c r="B69" s="21">
        <v>0.885416666666667</v>
      </c>
      <c r="C69" s="20" t="s">
        <v>45</v>
      </c>
      <c r="D69" s="41">
        <v>208</v>
      </c>
      <c r="E69" s="42">
        <v>0.897222222222222</v>
      </c>
      <c r="F69" s="43">
        <v>0.0104166666666667</v>
      </c>
      <c r="G69" s="43">
        <f>MOD(F69-E69,1)</f>
        <v>0.113194444444445</v>
      </c>
      <c r="H69" s="26" t="s">
        <v>74</v>
      </c>
      <c r="I69" s="21">
        <f>MOD(U69-F69,1)</f>
        <v>0.184027777777777</v>
      </c>
      <c r="J69" s="41"/>
      <c r="K69" s="41">
        <v>74</v>
      </c>
      <c r="L69" s="41"/>
      <c r="M69" s="43"/>
      <c r="N69" s="43"/>
      <c r="O69" s="43"/>
      <c r="P69" s="41"/>
      <c r="Q69" s="22">
        <v>41</v>
      </c>
      <c r="R69" s="41"/>
      <c r="S69" s="20" t="s">
        <v>74</v>
      </c>
      <c r="T69" s="41">
        <v>210</v>
      </c>
      <c r="U69" s="43">
        <v>0.194444444444444</v>
      </c>
      <c r="V69" s="42">
        <v>0.284027777777778</v>
      </c>
      <c r="W69" s="43">
        <f>MOD(V69-U69,1)</f>
        <v>0.089583333333334</v>
      </c>
      <c r="X69" s="26" t="s">
        <v>32</v>
      </c>
      <c r="Y69" s="21">
        <v>0.288194444444444</v>
      </c>
      <c r="Z69" s="41" t="s">
        <v>19</v>
      </c>
      <c r="AA69" s="41">
        <f>K69+Q69</f>
        <v>115</v>
      </c>
      <c r="AB69" s="27">
        <f>MOD(Y69-B69,1)</f>
        <v>0.402777777777777</v>
      </c>
      <c r="AC69" s="21">
        <f>G69+O69+W69</f>
        <v>0.202777777777779</v>
      </c>
      <c r="AD69" s="21">
        <f>I69+Q69</f>
        <v>41.1840277777778</v>
      </c>
      <c r="AE69" s="43"/>
      <c r="AF69" s="41" t="s">
        <v>75</v>
      </c>
      <c r="AG69" s="4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</row>
    <row r="70" ht="18.95" customHeight="1" spans="1:65">
      <c r="A70" s="32">
        <v>60</v>
      </c>
      <c r="B70" s="33">
        <v>0.892361111111111</v>
      </c>
      <c r="C70" s="32" t="s">
        <v>55</v>
      </c>
      <c r="D70" s="38">
        <v>218</v>
      </c>
      <c r="E70" s="37">
        <v>0.904166666666667</v>
      </c>
      <c r="F70" s="35">
        <v>0.993055555555555</v>
      </c>
      <c r="G70" s="37">
        <f>MOD(F70-E70,1)</f>
        <v>0.088888888888888</v>
      </c>
      <c r="H70" s="48" t="s">
        <v>42</v>
      </c>
      <c r="I70" s="33">
        <f>MOD(U70-F70,1)</f>
        <v>0.184027777777778</v>
      </c>
      <c r="J70" s="38"/>
      <c r="K70" s="38">
        <v>58</v>
      </c>
      <c r="L70" s="38"/>
      <c r="M70" s="37"/>
      <c r="N70" s="37"/>
      <c r="O70" s="37"/>
      <c r="P70" s="83" t="s">
        <v>76</v>
      </c>
      <c r="Q70" s="38">
        <v>34</v>
      </c>
      <c r="R70" s="38"/>
      <c r="S70" s="32" t="s">
        <v>42</v>
      </c>
      <c r="T70" s="38">
        <v>208</v>
      </c>
      <c r="U70" s="37">
        <v>0.177083333333333</v>
      </c>
      <c r="V70" s="47">
        <v>0.26875</v>
      </c>
      <c r="W70" s="37">
        <f>MOD(V70-U70,1)</f>
        <v>0.091666666666667</v>
      </c>
      <c r="X70" s="48" t="s">
        <v>32</v>
      </c>
      <c r="Y70" s="33">
        <v>0.270833333333333</v>
      </c>
      <c r="Z70" s="38" t="s">
        <v>19</v>
      </c>
      <c r="AA70" s="38">
        <f>K70+Q70</f>
        <v>92</v>
      </c>
      <c r="AB70" s="39">
        <f>MOD(Y70-B70,1)</f>
        <v>0.378472222222222</v>
      </c>
      <c r="AC70" s="33">
        <f>G70+O70+W70</f>
        <v>0.180555555555555</v>
      </c>
      <c r="AD70" s="33">
        <f>I70+Q70</f>
        <v>34.1840277777778</v>
      </c>
      <c r="AE70" s="37"/>
      <c r="AF70" s="38" t="s">
        <v>77</v>
      </c>
      <c r="AG70" s="40"/>
    </row>
    <row r="71" s="2" customFormat="1" ht="18.95" customHeight="1" spans="1:65">
      <c r="A71" s="20">
        <v>61</v>
      </c>
      <c r="B71" s="21">
        <v>0.895833333333333</v>
      </c>
      <c r="C71" s="20" t="s">
        <v>19</v>
      </c>
      <c r="D71" s="41">
        <v>209</v>
      </c>
      <c r="E71" s="43">
        <v>0.906388888888887</v>
      </c>
      <c r="F71" s="43">
        <v>0.989583333333333</v>
      </c>
      <c r="G71" s="43">
        <f>MOD(F71-E71,1)</f>
        <v>0.083194444444446</v>
      </c>
      <c r="H71" s="26" t="s">
        <v>78</v>
      </c>
      <c r="I71" s="21">
        <f>MOD(U71-F71,1)</f>
        <v>0.190972222222223</v>
      </c>
      <c r="J71" s="41"/>
      <c r="K71" s="41">
        <v>54</v>
      </c>
      <c r="L71" s="41"/>
      <c r="M71" s="43"/>
      <c r="N71" s="43"/>
      <c r="O71" s="43"/>
      <c r="P71" s="84" t="s">
        <v>79</v>
      </c>
      <c r="Q71" s="41">
        <v>38</v>
      </c>
      <c r="R71" s="41"/>
      <c r="S71" s="20" t="s">
        <v>80</v>
      </c>
      <c r="T71" s="41">
        <v>207</v>
      </c>
      <c r="U71" s="43">
        <v>0.180555555555556</v>
      </c>
      <c r="V71" s="42">
        <v>0.270833333333333</v>
      </c>
      <c r="W71" s="43">
        <f>MOD(V71-U71,1)</f>
        <v>0.090277777777777</v>
      </c>
      <c r="X71" s="26" t="s">
        <v>24</v>
      </c>
      <c r="Y71" s="21">
        <v>0.274305555555556</v>
      </c>
      <c r="Z71" s="20" t="s">
        <v>40</v>
      </c>
      <c r="AA71" s="41">
        <f>K71+Q71</f>
        <v>92</v>
      </c>
      <c r="AB71" s="27">
        <f>MOD(Y71-B71,1)</f>
        <v>0.378472222222223</v>
      </c>
      <c r="AC71" s="21">
        <f>G71+O71+W71</f>
        <v>0.173472222222223</v>
      </c>
      <c r="AD71" s="21">
        <f>I71+Q71</f>
        <v>38.1909722222222</v>
      </c>
      <c r="AE71" s="43"/>
      <c r="AF71" s="41" t="s">
        <v>81</v>
      </c>
      <c r="AG71" s="40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="7" customFormat="1" ht="18.95" customHeight="1" spans="1:65">
      <c r="A72" s="32">
        <v>62</v>
      </c>
      <c r="B72" s="33">
        <v>0.885416666666667</v>
      </c>
      <c r="C72" s="32" t="s">
        <v>42</v>
      </c>
      <c r="D72" s="38">
        <v>220</v>
      </c>
      <c r="E72" s="37">
        <v>0.895833333333333</v>
      </c>
      <c r="F72" s="37">
        <v>0.00694444444444444</v>
      </c>
      <c r="G72" s="37">
        <f>MOD(F72-E72,1)</f>
        <v>0.111111111111111</v>
      </c>
      <c r="H72" s="48" t="s">
        <v>45</v>
      </c>
      <c r="I72" s="33">
        <f>MOD(U72-F72,1)</f>
        <v>0.201388888888889</v>
      </c>
      <c r="J72" s="38"/>
      <c r="K72" s="38">
        <v>69</v>
      </c>
      <c r="L72" s="85"/>
      <c r="M72" s="37"/>
      <c r="N72" s="37"/>
      <c r="O72" s="37"/>
      <c r="P72" s="38"/>
      <c r="Q72" s="62">
        <v>35</v>
      </c>
      <c r="R72" s="38"/>
      <c r="S72" s="32" t="s">
        <v>45</v>
      </c>
      <c r="T72" s="38">
        <v>211</v>
      </c>
      <c r="U72" s="47">
        <v>0.208333333333333</v>
      </c>
      <c r="V72" s="37">
        <v>0.262638888888889</v>
      </c>
      <c r="W72" s="37">
        <f>MOD(V72-U72,1)</f>
        <v>0.054305555555556</v>
      </c>
      <c r="X72" s="48"/>
      <c r="Y72" s="33">
        <v>0.267361111111111</v>
      </c>
      <c r="Z72" s="38" t="s">
        <v>19</v>
      </c>
      <c r="AA72" s="38">
        <f>K72+Q72</f>
        <v>104</v>
      </c>
      <c r="AB72" s="39">
        <f>MOD(Y72-B72,1)</f>
        <v>0.381944444444444</v>
      </c>
      <c r="AC72" s="33">
        <f>G72+O72+W72</f>
        <v>0.165416666666667</v>
      </c>
      <c r="AD72" s="33">
        <f>I72+Q72</f>
        <v>35.2013888888889</v>
      </c>
      <c r="AE72" s="37"/>
      <c r="AF72" s="38" t="s">
        <v>82</v>
      </c>
      <c r="AG72" s="40"/>
    </row>
    <row r="73" s="4" customFormat="1" ht="18.95" customHeight="1" spans="1:65">
      <c r="A73" s="20">
        <v>63</v>
      </c>
      <c r="B73" s="21">
        <v>0.899305555555555</v>
      </c>
      <c r="C73" s="20" t="s">
        <v>42</v>
      </c>
      <c r="D73" s="41">
        <v>203</v>
      </c>
      <c r="E73" s="43">
        <v>0.909722222222222</v>
      </c>
      <c r="F73" s="43">
        <v>0.0104166666666667</v>
      </c>
      <c r="G73" s="43">
        <f>MOD(F73-E73,1)</f>
        <v>0.100694444444445</v>
      </c>
      <c r="H73" s="26" t="s">
        <v>83</v>
      </c>
      <c r="I73" s="21">
        <f>MOD(U73-F73,1)</f>
        <v>0.177083333333333</v>
      </c>
      <c r="J73" s="41"/>
      <c r="K73" s="41">
        <v>62</v>
      </c>
      <c r="L73" s="41"/>
      <c r="M73" s="43"/>
      <c r="N73" s="43"/>
      <c r="O73" s="43"/>
      <c r="P73" s="84" t="s">
        <v>84</v>
      </c>
      <c r="Q73" s="41">
        <v>40</v>
      </c>
      <c r="R73" s="41"/>
      <c r="S73" s="20" t="s">
        <v>83</v>
      </c>
      <c r="T73" s="41">
        <v>209</v>
      </c>
      <c r="U73" s="43">
        <v>0.1875</v>
      </c>
      <c r="V73" s="42">
        <v>0.276388888888889</v>
      </c>
      <c r="W73" s="43">
        <f>MOD(V73-U73,1)</f>
        <v>0.088888888888889</v>
      </c>
      <c r="X73" s="26" t="s">
        <v>32</v>
      </c>
      <c r="Y73" s="21">
        <v>0.28125</v>
      </c>
      <c r="Z73" s="41" t="s">
        <v>19</v>
      </c>
      <c r="AA73" s="41">
        <f>K73+Q73</f>
        <v>102</v>
      </c>
      <c r="AB73" s="27">
        <f>MOD(Y73-B73,1)</f>
        <v>0.381944444444445</v>
      </c>
      <c r="AC73" s="21">
        <f>G73+O73+W73</f>
        <v>0.189583333333334</v>
      </c>
      <c r="AD73" s="21">
        <f>I73+Q73</f>
        <v>40.1770833333333</v>
      </c>
      <c r="AE73" s="43"/>
      <c r="AF73" s="41" t="s">
        <v>85</v>
      </c>
      <c r="AG73" s="4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</row>
    <row r="74" ht="18.95" customHeight="1" spans="1:65">
      <c r="A74" s="32"/>
      <c r="B74" s="33"/>
      <c r="C74" s="32"/>
      <c r="D74" s="86"/>
      <c r="E74" s="86"/>
      <c r="F74" s="86"/>
      <c r="G74" s="86"/>
      <c r="H74" s="48"/>
      <c r="I74" s="33"/>
      <c r="J74" s="38"/>
      <c r="K74" s="38"/>
      <c r="L74" s="85"/>
      <c r="M74" s="37"/>
      <c r="N74" s="37"/>
      <c r="O74" s="37"/>
      <c r="P74" s="59"/>
      <c r="Q74" s="62"/>
      <c r="R74" s="38"/>
      <c r="S74" s="32"/>
      <c r="T74" s="86"/>
      <c r="U74" s="86"/>
      <c r="V74" s="86"/>
      <c r="W74" s="86"/>
      <c r="X74" s="48"/>
      <c r="Y74" s="33"/>
      <c r="Z74" s="32"/>
      <c r="AA74" s="38"/>
      <c r="AB74" s="39"/>
      <c r="AC74" s="33"/>
      <c r="AD74" s="33"/>
      <c r="AE74" s="37"/>
      <c r="AF74" s="38"/>
      <c r="AG74" s="40"/>
    </row>
    <row r="75" s="4" customFormat="1" ht="18.95" customHeight="1" spans="1:65">
      <c r="A75" s="20">
        <v>64</v>
      </c>
      <c r="B75" s="21">
        <v>0.878472222222222</v>
      </c>
      <c r="C75" s="20" t="s">
        <v>24</v>
      </c>
      <c r="D75" s="41">
        <v>221</v>
      </c>
      <c r="E75" s="42">
        <v>0.890277777777778</v>
      </c>
      <c r="F75" s="43">
        <v>0.96875</v>
      </c>
      <c r="G75" s="43">
        <f>MOD(F75-E75,1)</f>
        <v>0.0784722222222221</v>
      </c>
      <c r="H75" s="26" t="s">
        <v>86</v>
      </c>
      <c r="I75" s="21">
        <f>MOD(U75-F75,1)</f>
        <v>0.302083333333333</v>
      </c>
      <c r="J75" s="41"/>
      <c r="K75" s="41">
        <v>51</v>
      </c>
      <c r="L75" s="87"/>
      <c r="M75" s="43"/>
      <c r="N75" s="43"/>
      <c r="O75" s="43"/>
      <c r="P75" s="71"/>
      <c r="Q75" s="22">
        <v>7</v>
      </c>
      <c r="R75" s="41"/>
      <c r="S75" s="20" t="s">
        <v>87</v>
      </c>
      <c r="T75" s="41">
        <v>212</v>
      </c>
      <c r="U75" s="43">
        <v>0.270833333333333</v>
      </c>
      <c r="V75" s="42">
        <v>0.322222222222222</v>
      </c>
      <c r="W75" s="43">
        <f>MOD(V75-U75,1)</f>
        <v>0.051388888888889</v>
      </c>
      <c r="X75" s="26" t="s">
        <v>32</v>
      </c>
      <c r="Y75" s="21">
        <v>0.3125</v>
      </c>
      <c r="Z75" s="41" t="s">
        <v>19</v>
      </c>
      <c r="AA75" s="41">
        <f>K75+Q75</f>
        <v>58</v>
      </c>
      <c r="AB75" s="27">
        <f>MOD(Y75-B75,1)</f>
        <v>0.434027777777778</v>
      </c>
      <c r="AC75" s="21">
        <f>G75+O75+W75</f>
        <v>0.129861111111111</v>
      </c>
      <c r="AD75" s="21">
        <f>I75+Q75</f>
        <v>7.30208333333333</v>
      </c>
      <c r="AE75" s="43"/>
      <c r="AF75" s="41" t="s">
        <v>88</v>
      </c>
      <c r="AG75" s="4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</row>
    <row r="76" ht="18.95" customHeight="1" spans="1:65">
      <c r="A76" s="32">
        <v>65</v>
      </c>
      <c r="B76" s="33">
        <v>0.885416666666667</v>
      </c>
      <c r="C76" s="32" t="s">
        <v>24</v>
      </c>
      <c r="D76" s="40">
        <v>210</v>
      </c>
      <c r="E76" s="88">
        <v>0.897222222222222</v>
      </c>
      <c r="F76" s="89">
        <v>0</v>
      </c>
      <c r="G76" s="89">
        <f>MOD(F76-E76,1)</f>
        <v>0.102777777777778</v>
      </c>
      <c r="H76" s="48" t="s">
        <v>89</v>
      </c>
      <c r="I76" s="33"/>
      <c r="J76" s="38"/>
      <c r="K76" s="38">
        <v>59</v>
      </c>
      <c r="L76" s="38"/>
      <c r="M76" s="37"/>
      <c r="N76" s="37"/>
      <c r="O76" s="37"/>
      <c r="P76" s="38"/>
      <c r="Q76" s="62"/>
      <c r="R76" s="38"/>
      <c r="S76" s="32" t="s">
        <v>90</v>
      </c>
      <c r="T76" s="49" t="s">
        <v>91</v>
      </c>
      <c r="U76" s="74"/>
      <c r="V76" s="49"/>
      <c r="W76" s="49"/>
      <c r="X76" s="48"/>
      <c r="Y76" s="33">
        <v>0.270833333333333</v>
      </c>
      <c r="Z76" s="32" t="s">
        <v>28</v>
      </c>
      <c r="AA76" s="38">
        <f>K76+Q76</f>
        <v>59</v>
      </c>
      <c r="AB76" s="39">
        <f>MOD(Y76-B76,1)</f>
        <v>0.385416666666666</v>
      </c>
      <c r="AC76" s="33">
        <f>G76+O76+W76</f>
        <v>0.102777777777778</v>
      </c>
      <c r="AD76" s="33"/>
      <c r="AE76" s="37"/>
      <c r="AF76" s="38" t="s">
        <v>92</v>
      </c>
      <c r="AG76" s="40"/>
    </row>
    <row r="77" s="4" customFormat="1" ht="18.95" customHeight="1" spans="1:65">
      <c r="A77" s="20">
        <v>66</v>
      </c>
      <c r="B77" s="21">
        <v>0.885416666666667</v>
      </c>
      <c r="C77" s="20" t="s">
        <v>55</v>
      </c>
      <c r="D77" s="41">
        <v>211</v>
      </c>
      <c r="E77" s="43">
        <v>0.898611111111111</v>
      </c>
      <c r="F77" s="43">
        <v>0.9375</v>
      </c>
      <c r="G77" s="43">
        <f>MOD(F77-E77,1)</f>
        <v>0.038888888888889</v>
      </c>
      <c r="H77" s="26" t="s">
        <v>93</v>
      </c>
      <c r="I77" s="21"/>
      <c r="J77" s="41"/>
      <c r="K77" s="41">
        <v>15</v>
      </c>
      <c r="L77" s="41"/>
      <c r="M77" s="43"/>
      <c r="N77" s="43"/>
      <c r="O77" s="43"/>
      <c r="P77" s="41"/>
      <c r="Q77" s="22"/>
      <c r="R77" s="41"/>
      <c r="S77" s="20" t="s">
        <v>90</v>
      </c>
      <c r="T77" s="44"/>
      <c r="U77" s="44"/>
      <c r="V77" s="44"/>
      <c r="W77" s="44"/>
      <c r="X77" s="26"/>
      <c r="Y77" s="21">
        <v>0.270833333333333</v>
      </c>
      <c r="Z77" s="20" t="s">
        <v>28</v>
      </c>
      <c r="AA77" s="41">
        <f>K77+Q77</f>
        <v>15</v>
      </c>
      <c r="AB77" s="27">
        <f>MOD(Y77-B77,1)</f>
        <v>0.385416666666666</v>
      </c>
      <c r="AC77" s="21">
        <f>G77+O77+W77</f>
        <v>0.038888888888889</v>
      </c>
      <c r="AD77" s="21"/>
      <c r="AE77" s="43"/>
      <c r="AF77" s="41" t="s">
        <v>94</v>
      </c>
      <c r="AG77" s="4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ht="18.95" customHeight="1" spans="1:65">
      <c r="A78" s="32">
        <v>67</v>
      </c>
      <c r="B78" s="33">
        <v>0.888888888888889</v>
      </c>
      <c r="C78" s="32" t="s">
        <v>32</v>
      </c>
      <c r="D78" s="38">
        <v>216</v>
      </c>
      <c r="E78" s="47">
        <v>0.898611111111111</v>
      </c>
      <c r="F78" s="37">
        <v>0.996527777777778</v>
      </c>
      <c r="G78" s="37">
        <f>MOD(F78-E78,1)</f>
        <v>0.097916666666667</v>
      </c>
      <c r="H78" s="48" t="s">
        <v>95</v>
      </c>
      <c r="I78" s="33">
        <f>MOD(U78-F78,1)</f>
        <v>0.170138888888889</v>
      </c>
      <c r="J78" s="38"/>
      <c r="K78" s="38">
        <v>65</v>
      </c>
      <c r="L78" s="85"/>
      <c r="M78" s="37"/>
      <c r="N78" s="37"/>
      <c r="O78" s="37"/>
      <c r="P78" s="83" t="s">
        <v>96</v>
      </c>
      <c r="Q78" s="62">
        <v>59</v>
      </c>
      <c r="R78" s="38"/>
      <c r="S78" s="32" t="s">
        <v>97</v>
      </c>
      <c r="T78" s="38">
        <v>202</v>
      </c>
      <c r="U78" s="37">
        <v>0.166666666666667</v>
      </c>
      <c r="V78" s="37">
        <v>0.283472222222222</v>
      </c>
      <c r="W78" s="37">
        <f>MOD(V78-U78,1)</f>
        <v>0.116805555555555</v>
      </c>
      <c r="X78" s="48"/>
      <c r="Y78" s="33">
        <v>0.284722222222222</v>
      </c>
      <c r="Z78" s="38" t="s">
        <v>19</v>
      </c>
      <c r="AA78" s="38">
        <f>K78+Q78</f>
        <v>124</v>
      </c>
      <c r="AB78" s="39">
        <f>MOD(Y78-B78,1)</f>
        <v>0.395833333333333</v>
      </c>
      <c r="AC78" s="33">
        <f>G78+O78+W78</f>
        <v>0.214722222222222</v>
      </c>
      <c r="AD78" s="33">
        <f>I78+Q78</f>
        <v>59.1701388888889</v>
      </c>
      <c r="AE78" s="37"/>
      <c r="AF78" s="38" t="s">
        <v>98</v>
      </c>
      <c r="AG78" s="40"/>
    </row>
    <row r="79" s="4" customFormat="1" ht="18.95" customHeight="1" spans="1:65">
      <c r="A79" s="20">
        <v>68</v>
      </c>
      <c r="B79" s="21">
        <v>0.888888888888889</v>
      </c>
      <c r="C79" s="20" t="s">
        <v>99</v>
      </c>
      <c r="D79" s="41">
        <v>217</v>
      </c>
      <c r="E79" s="43">
        <v>0.899444444444443</v>
      </c>
      <c r="F79" s="43">
        <v>0.0104166666666667</v>
      </c>
      <c r="G79" s="43">
        <f>MOD(F79-E79,1)</f>
        <v>0.110972222222224</v>
      </c>
      <c r="H79" s="26" t="s">
        <v>100</v>
      </c>
      <c r="I79" s="21">
        <f>MOD(U79-F79,1)</f>
        <v>0.184027777777777</v>
      </c>
      <c r="J79" s="41"/>
      <c r="K79" s="41">
        <v>74</v>
      </c>
      <c r="L79" s="87"/>
      <c r="M79" s="43"/>
      <c r="N79" s="43"/>
      <c r="O79" s="43"/>
      <c r="P79" s="41"/>
      <c r="Q79" s="22">
        <v>62</v>
      </c>
      <c r="R79" s="41"/>
      <c r="S79" s="26" t="s">
        <v>100</v>
      </c>
      <c r="T79" s="41">
        <v>204</v>
      </c>
      <c r="U79" s="43">
        <v>0.194444444444444</v>
      </c>
      <c r="V79" s="43">
        <v>0.304305555555556</v>
      </c>
      <c r="W79" s="43">
        <f>MOD(V79-U79,1)</f>
        <v>0.109861111111112</v>
      </c>
      <c r="X79" s="26"/>
      <c r="Y79" s="21">
        <v>0.305555555555556</v>
      </c>
      <c r="Z79" s="41" t="s">
        <v>19</v>
      </c>
      <c r="AA79" s="41">
        <f>K79+Q79</f>
        <v>136</v>
      </c>
      <c r="AB79" s="27">
        <f>MOD(Y79-B79,1)</f>
        <v>0.416666666666667</v>
      </c>
      <c r="AC79" s="21">
        <f>G79+O79+W79</f>
        <v>0.220833333333336</v>
      </c>
      <c r="AD79" s="21">
        <f>I79+Q79</f>
        <v>62.1840277777778</v>
      </c>
      <c r="AE79" s="21"/>
      <c r="AF79" s="41" t="s">
        <v>101</v>
      </c>
      <c r="AG79" s="4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</row>
    <row r="80" ht="18.95" customHeight="1" spans="1:65">
      <c r="A80" s="32">
        <v>69</v>
      </c>
      <c r="B80" s="33">
        <v>0.892361111111111</v>
      </c>
      <c r="C80" s="32" t="s">
        <v>42</v>
      </c>
      <c r="D80" s="38">
        <v>201</v>
      </c>
      <c r="E80" s="37">
        <v>0.902777777777778</v>
      </c>
      <c r="F80" s="37">
        <v>0.979166666666667</v>
      </c>
      <c r="G80" s="37">
        <f>MOD(F80-E80,1)</f>
        <v>0.076388888888889</v>
      </c>
      <c r="H80" s="48" t="s">
        <v>89</v>
      </c>
      <c r="I80" s="33">
        <f>MOD(U80-F80,1)</f>
        <v>0.208333333333333</v>
      </c>
      <c r="J80" s="38"/>
      <c r="K80" s="38">
        <v>36</v>
      </c>
      <c r="L80" s="85"/>
      <c r="M80" s="37"/>
      <c r="N80" s="37"/>
      <c r="O80" s="37"/>
      <c r="P80" s="38"/>
      <c r="Q80" s="62">
        <v>26</v>
      </c>
      <c r="R80" s="38"/>
      <c r="S80" s="32" t="s">
        <v>28</v>
      </c>
      <c r="T80" s="38">
        <v>206</v>
      </c>
      <c r="U80" s="37">
        <v>0.1875</v>
      </c>
      <c r="V80" s="47">
        <v>0.260416666666667</v>
      </c>
      <c r="W80" s="37">
        <f>MOD(V80-U80,1)</f>
        <v>0.072916666666667</v>
      </c>
      <c r="X80" s="48" t="s">
        <v>24</v>
      </c>
      <c r="Y80" s="33">
        <v>0.263888888888889</v>
      </c>
      <c r="Z80" s="32" t="s">
        <v>40</v>
      </c>
      <c r="AA80" s="38">
        <f>K80+Q80</f>
        <v>62</v>
      </c>
      <c r="AB80" s="39">
        <f>MOD(Y80-B80,1)</f>
        <v>0.371527777777778</v>
      </c>
      <c r="AC80" s="33">
        <f>G80+O80+W80</f>
        <v>0.149305555555556</v>
      </c>
      <c r="AD80" s="33">
        <f>I80+Q80</f>
        <v>26.2083333333333</v>
      </c>
      <c r="AE80" s="37"/>
      <c r="AF80" s="38" t="s">
        <v>102</v>
      </c>
      <c r="AG80" s="40"/>
    </row>
    <row r="81" s="4" customFormat="1" ht="18.95" customHeight="1" spans="1:65">
      <c r="A81" s="20">
        <v>70</v>
      </c>
      <c r="B81" s="21">
        <v>0.892361111111111</v>
      </c>
      <c r="C81" s="20" t="s">
        <v>24</v>
      </c>
      <c r="D81" s="41">
        <v>202</v>
      </c>
      <c r="E81" s="42">
        <v>0.904166666666667</v>
      </c>
      <c r="F81" s="43">
        <v>0</v>
      </c>
      <c r="G81" s="43">
        <f>MOD(F81-E81,1)</f>
        <v>0.095833333333333</v>
      </c>
      <c r="H81" s="26" t="s">
        <v>103</v>
      </c>
      <c r="I81" s="21">
        <f>MOD(U81-F81,1)</f>
        <v>0.184027777777778</v>
      </c>
      <c r="J81" s="41"/>
      <c r="K81" s="41">
        <v>68</v>
      </c>
      <c r="L81" s="41"/>
      <c r="M81" s="43"/>
      <c r="N81" s="43"/>
      <c r="O81" s="43"/>
      <c r="P81" s="84" t="s">
        <v>79</v>
      </c>
      <c r="Q81" s="22">
        <v>45</v>
      </c>
      <c r="R81" s="41"/>
      <c r="S81" s="20" t="s">
        <v>103</v>
      </c>
      <c r="T81" s="41">
        <v>201</v>
      </c>
      <c r="U81" s="43">
        <v>0.184027777777778</v>
      </c>
      <c r="V81" s="43">
        <v>0.273055555555556</v>
      </c>
      <c r="W81" s="43">
        <f>MOD(V81-U81,1)</f>
        <v>0.089027777777778</v>
      </c>
      <c r="X81" s="26"/>
      <c r="Y81" s="21">
        <v>0.277777777777778</v>
      </c>
      <c r="Z81" s="41" t="s">
        <v>19</v>
      </c>
      <c r="AA81" s="41">
        <f>K81+Q81</f>
        <v>113</v>
      </c>
      <c r="AB81" s="27">
        <f>MOD(Y81-B81,1)</f>
        <v>0.385416666666667</v>
      </c>
      <c r="AC81" s="21">
        <f>G81+O81+W81</f>
        <v>0.184861111111111</v>
      </c>
      <c r="AD81" s="21">
        <f>I81+Q81</f>
        <v>45.1840277777778</v>
      </c>
      <c r="AE81" s="43"/>
      <c r="AF81" s="41" t="s">
        <v>104</v>
      </c>
      <c r="AG81" s="4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</row>
    <row r="82" ht="18.95" customHeight="1" spans="1:65">
      <c r="A82" s="32">
        <v>71</v>
      </c>
      <c r="B82" s="33">
        <v>0.895833333333333</v>
      </c>
      <c r="C82" s="32" t="s">
        <v>32</v>
      </c>
      <c r="D82" s="38">
        <v>206</v>
      </c>
      <c r="E82" s="37">
        <v>0.905555555555556</v>
      </c>
      <c r="F82" s="37">
        <v>0.0138888888888889</v>
      </c>
      <c r="G82" s="37">
        <f>MOD(F82-E82,1)</f>
        <v>0.108333333333333</v>
      </c>
      <c r="H82" s="48" t="s">
        <v>105</v>
      </c>
      <c r="I82" s="33">
        <f>MOD(U82-F82,1)</f>
        <v>0.184027777777778</v>
      </c>
      <c r="J82" s="38"/>
      <c r="K82" s="38">
        <v>60</v>
      </c>
      <c r="L82" s="38"/>
      <c r="M82" s="37"/>
      <c r="N82" s="37"/>
      <c r="O82" s="37"/>
      <c r="P82" s="38"/>
      <c r="Q82" s="62">
        <v>45</v>
      </c>
      <c r="R82" s="38"/>
      <c r="S82" s="32" t="s">
        <v>106</v>
      </c>
      <c r="T82" s="38">
        <v>205</v>
      </c>
      <c r="U82" s="37">
        <v>0.197916666666667</v>
      </c>
      <c r="V82" s="37">
        <v>0.288194444444444</v>
      </c>
      <c r="W82" s="37">
        <f>MOD(V82-U82,1)</f>
        <v>0.090277777777777</v>
      </c>
      <c r="X82" s="48" t="s">
        <v>42</v>
      </c>
      <c r="Y82" s="33">
        <v>0.291666666666667</v>
      </c>
      <c r="Z82" s="32" t="s">
        <v>46</v>
      </c>
      <c r="AA82" s="38">
        <f>K82+Q82</f>
        <v>105</v>
      </c>
      <c r="AB82" s="39">
        <f>MOD(Y82-B82,1)</f>
        <v>0.395833333333334</v>
      </c>
      <c r="AC82" s="33">
        <f>G82+O82+W82</f>
        <v>0.19861111111111</v>
      </c>
      <c r="AD82" s="33">
        <f>I82+Q82</f>
        <v>45.1840277777778</v>
      </c>
      <c r="AE82" s="37"/>
      <c r="AF82" s="38" t="s">
        <v>107</v>
      </c>
      <c r="AG82" s="40"/>
    </row>
    <row r="83" s="4" customFormat="1" ht="18.95" customHeight="1" spans="1:65">
      <c r="A83" s="20">
        <v>72</v>
      </c>
      <c r="B83" s="21">
        <v>0.899305555555555</v>
      </c>
      <c r="C83" s="20" t="s">
        <v>32</v>
      </c>
      <c r="D83" s="90">
        <v>207</v>
      </c>
      <c r="E83" s="91">
        <v>0.9125</v>
      </c>
      <c r="F83" s="92">
        <v>0.0104166666666667</v>
      </c>
      <c r="G83" s="92">
        <f>MOD(F83-E83,1)</f>
        <v>0.0979166666666668</v>
      </c>
      <c r="H83" s="26" t="s">
        <v>108</v>
      </c>
      <c r="I83" s="21">
        <f>MOD(U83-F83,1)</f>
        <v>0.177083333333333</v>
      </c>
      <c r="J83" s="41"/>
      <c r="K83" s="41">
        <v>62</v>
      </c>
      <c r="L83" s="87"/>
      <c r="M83" s="43"/>
      <c r="N83" s="43"/>
      <c r="O83" s="43"/>
      <c r="P83" s="84" t="s">
        <v>109</v>
      </c>
      <c r="Q83" s="22">
        <v>62</v>
      </c>
      <c r="R83" s="41"/>
      <c r="S83" s="26" t="s">
        <v>108</v>
      </c>
      <c r="T83" s="41">
        <v>203</v>
      </c>
      <c r="U83" s="42">
        <v>0.1875</v>
      </c>
      <c r="V83" s="43">
        <v>0.29375</v>
      </c>
      <c r="W83" s="43">
        <f>MOD(V83-U83,1)</f>
        <v>0.10625</v>
      </c>
      <c r="X83" s="26"/>
      <c r="Y83" s="21">
        <v>0.295138888888889</v>
      </c>
      <c r="Z83" s="41" t="s">
        <v>19</v>
      </c>
      <c r="AA83" s="41">
        <f>K83+Q83</f>
        <v>124</v>
      </c>
      <c r="AB83" s="27">
        <f>MOD(Y83-B83,1)</f>
        <v>0.395833333333334</v>
      </c>
      <c r="AC83" s="21">
        <f>G83+O83+W83</f>
        <v>0.204166666666667</v>
      </c>
      <c r="AD83" s="21">
        <f>I83+Q83</f>
        <v>62.1770833333333</v>
      </c>
      <c r="AE83" s="43"/>
      <c r="AF83" s="41" t="s">
        <v>110</v>
      </c>
      <c r="AG83" s="4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</row>
    <row r="84" ht="18.95" customHeight="1" spans="1:65">
      <c r="A84" s="32"/>
      <c r="B84" s="33"/>
      <c r="C84" s="38"/>
      <c r="D84" s="85"/>
      <c r="E84" s="37"/>
      <c r="F84" s="37"/>
      <c r="G84" s="37"/>
      <c r="H84" s="48"/>
      <c r="I84" s="33"/>
      <c r="J84" s="38"/>
      <c r="K84" s="38"/>
      <c r="L84" s="85"/>
      <c r="M84" s="37"/>
      <c r="N84" s="37"/>
      <c r="O84" s="37"/>
      <c r="P84" s="38"/>
      <c r="Q84" s="33"/>
      <c r="R84" s="38"/>
      <c r="S84" s="38"/>
      <c r="T84" s="80"/>
      <c r="U84" s="81"/>
      <c r="V84" s="81"/>
      <c r="W84" s="81"/>
      <c r="X84" s="80"/>
      <c r="Y84" s="33"/>
      <c r="Z84" s="32"/>
      <c r="AA84" s="38"/>
      <c r="AB84" s="39"/>
      <c r="AC84" s="33"/>
      <c r="AD84" s="33"/>
      <c r="AE84" s="37"/>
      <c r="AF84" s="38"/>
      <c r="AG84" s="40"/>
    </row>
    <row r="85" s="6" customFormat="1" ht="18.95" customHeight="1" spans="1:65">
      <c r="A85" s="20">
        <v>73</v>
      </c>
      <c r="B85" s="21">
        <v>0.895833333333333</v>
      </c>
      <c r="C85" s="41" t="s">
        <v>19</v>
      </c>
      <c r="D85" s="41" t="s">
        <v>111</v>
      </c>
      <c r="E85" s="93"/>
      <c r="F85" s="93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26"/>
      <c r="R85" s="41"/>
      <c r="S85" s="43"/>
      <c r="T85" s="41" t="s">
        <v>111</v>
      </c>
      <c r="U85" s="43"/>
      <c r="V85" s="43"/>
      <c r="W85" s="21"/>
      <c r="X85" s="43"/>
      <c r="Y85" s="21">
        <v>0.270833333333333</v>
      </c>
      <c r="Z85" s="20" t="s">
        <v>19</v>
      </c>
      <c r="AA85" s="41"/>
      <c r="AB85" s="27">
        <f>MOD(Y85-B85,1)</f>
        <v>0.375</v>
      </c>
      <c r="AC85" s="21"/>
      <c r="AD85" s="21"/>
      <c r="AE85" s="21"/>
      <c r="AF85" s="43" t="s">
        <v>112</v>
      </c>
      <c r="AG85" s="89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</row>
    <row r="86" ht="18.95" customHeight="1" spans="1:65">
      <c r="A86" s="94">
        <v>74</v>
      </c>
      <c r="B86" s="95">
        <v>0.895833333333333</v>
      </c>
      <c r="C86" s="96" t="s">
        <v>60</v>
      </c>
      <c r="D86" s="96" t="s">
        <v>113</v>
      </c>
      <c r="E86" s="70"/>
      <c r="F86" s="70"/>
      <c r="G86" s="70"/>
      <c r="H86" s="96"/>
      <c r="I86" s="96"/>
      <c r="J86" s="96"/>
      <c r="K86" s="96"/>
      <c r="L86" s="96"/>
      <c r="M86" s="96"/>
      <c r="N86" s="96"/>
      <c r="O86" s="96"/>
      <c r="P86" s="96"/>
      <c r="Q86" s="97"/>
      <c r="R86" s="96"/>
      <c r="S86" s="70"/>
      <c r="T86" s="96" t="s">
        <v>113</v>
      </c>
      <c r="U86" s="70"/>
      <c r="V86" s="70"/>
      <c r="W86" s="95"/>
      <c r="X86" s="70"/>
      <c r="Y86" s="95">
        <v>0.270833333333333</v>
      </c>
      <c r="Z86" s="94" t="s">
        <v>19</v>
      </c>
      <c r="AA86" s="96"/>
      <c r="AB86" s="98">
        <f>MOD(Y86-B86,1)</f>
        <v>0.375</v>
      </c>
      <c r="AC86" s="95"/>
      <c r="AD86" s="95"/>
      <c r="AE86" s="95"/>
      <c r="AF86" s="70" t="s">
        <v>113</v>
      </c>
      <c r="AG86" s="89"/>
    </row>
    <row r="87" s="4" customFormat="1" ht="18.75" customHeight="1" spans="1:65">
      <c r="A87" s="20"/>
      <c r="B87" s="21"/>
      <c r="C87" s="41"/>
      <c r="D87" s="41"/>
      <c r="E87" s="43"/>
      <c r="F87" s="43"/>
      <c r="G87" s="43"/>
      <c r="H87" s="41"/>
      <c r="I87" s="41"/>
      <c r="J87" s="41"/>
      <c r="K87" s="41"/>
      <c r="L87" s="41"/>
      <c r="M87" s="41"/>
      <c r="N87" s="41"/>
      <c r="O87" s="41"/>
      <c r="P87" s="41"/>
      <c r="Q87" s="26"/>
      <c r="R87" s="41"/>
      <c r="S87" s="43"/>
      <c r="T87" s="41"/>
      <c r="U87" s="43"/>
      <c r="V87" s="43"/>
      <c r="W87" s="21"/>
      <c r="X87" s="43"/>
      <c r="Y87" s="93"/>
      <c r="Z87" s="20"/>
      <c r="AA87" s="41"/>
      <c r="AB87" s="27"/>
      <c r="AC87" s="21"/>
      <c r="AD87" s="21"/>
      <c r="AE87" s="21"/>
      <c r="AF87" s="43"/>
      <c r="AG87" s="89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</row>
    <row r="88" ht="21" customHeight="1" spans="1:65">
      <c r="A88" s="80"/>
      <c r="B88" s="82"/>
      <c r="C88" s="80"/>
      <c r="D88" s="80"/>
      <c r="E88" s="81"/>
      <c r="F88" s="81"/>
      <c r="G88" s="81"/>
      <c r="H88" s="80"/>
      <c r="I88" s="81"/>
      <c r="J88" s="80"/>
      <c r="K88" s="80"/>
      <c r="L88" s="80"/>
      <c r="M88" s="81"/>
      <c r="N88" s="81"/>
      <c r="O88" s="81"/>
      <c r="P88" s="80"/>
      <c r="Q88" s="81"/>
      <c r="R88" s="80"/>
      <c r="S88" s="80"/>
      <c r="T88" s="80"/>
      <c r="U88" s="81"/>
      <c r="V88" s="81"/>
      <c r="W88" s="81"/>
      <c r="X88" s="80"/>
      <c r="Y88" s="81"/>
      <c r="Z88" s="99" t="s">
        <v>114</v>
      </c>
      <c r="AA88" s="100"/>
      <c r="AB88" s="101">
        <f>AVERAGE(AB11:AB87)</f>
        <v>0.321014718076285</v>
      </c>
      <c r="AC88" s="101">
        <f>AVERAGE(AC11:AC87)</f>
        <v>0.211873897707231</v>
      </c>
      <c r="AD88" s="101">
        <f>AVERAGE(AD11:AD87)</f>
        <v>8.17919285063752</v>
      </c>
      <c r="AE88" s="101" t="e">
        <f>AVERAGE(AE11:AE87)</f>
        <v>#DIV/0!</v>
      </c>
      <c r="AF88" s="47"/>
      <c r="AG88" s="88"/>
    </row>
    <row r="89" s="9" customFormat="1" spans="1:65">
      <c r="A89" s="10"/>
      <c r="B89" s="31"/>
      <c r="J89" s="10"/>
      <c r="K89" s="10"/>
      <c r="L89" s="10"/>
      <c r="P89" s="10"/>
      <c r="R89" s="10"/>
      <c r="S89" s="10"/>
      <c r="T89" s="10"/>
      <c r="X89" s="10"/>
      <c r="Z89" s="10"/>
      <c r="AA89" s="10"/>
      <c r="AF89" s="7"/>
      <c r="AG89" s="7"/>
    </row>
    <row r="90" s="9" customFormat="1" spans="1:65">
      <c r="A90" s="10"/>
      <c r="B90" s="31"/>
      <c r="J90" s="10"/>
      <c r="K90" s="10"/>
      <c r="L90" s="10"/>
      <c r="P90" s="10"/>
      <c r="R90" s="10"/>
      <c r="S90" s="10"/>
      <c r="T90" s="10"/>
      <c r="X90" s="10"/>
      <c r="Z90" s="10"/>
      <c r="AA90" s="10"/>
      <c r="AF90" s="7"/>
      <c r="AG90" s="7"/>
    </row>
    <row r="91" s="9" customFormat="1" spans="1:65">
      <c r="A91" s="10"/>
      <c r="B91" s="31"/>
      <c r="J91" s="10"/>
      <c r="K91" s="10"/>
      <c r="L91" s="10"/>
      <c r="P91" s="10"/>
      <c r="R91" s="10"/>
      <c r="S91" s="10"/>
      <c r="T91" s="10"/>
      <c r="X91" s="10"/>
      <c r="Z91" s="10"/>
      <c r="AA91" s="10"/>
      <c r="AF91" s="7"/>
      <c r="AG91" s="7"/>
    </row>
    <row r="92" s="9" customFormat="1" spans="1:65">
      <c r="A92" s="10"/>
      <c r="B92" s="31"/>
      <c r="J92" s="10"/>
      <c r="K92" s="10"/>
      <c r="L92" s="10"/>
      <c r="P92" s="10"/>
      <c r="R92" s="10"/>
      <c r="S92" s="10"/>
      <c r="T92" s="10"/>
      <c r="X92" s="10"/>
      <c r="Z92" s="10"/>
      <c r="AA92" s="10"/>
      <c r="AF92" s="7"/>
      <c r="AG92" s="7"/>
    </row>
    <row r="93" s="9" customFormat="1" spans="1:65">
      <c r="A93" s="10"/>
      <c r="B93" s="31"/>
      <c r="J93" s="10"/>
      <c r="K93" s="10"/>
      <c r="L93" s="10"/>
      <c r="P93" s="10"/>
      <c r="R93" s="10"/>
      <c r="S93" s="10"/>
      <c r="T93" s="10"/>
      <c r="X93" s="10"/>
      <c r="Z93" s="10"/>
      <c r="AA93" s="10"/>
      <c r="AF93" s="7"/>
      <c r="AG93" s="7"/>
    </row>
    <row r="94" spans="1:65">
      <c r="B94" s="31"/>
    </row>
    <row r="95" spans="1:65">
      <c r="B95" s="31"/>
    </row>
    <row r="96" spans="1:65">
      <c r="B96" s="31"/>
    </row>
    <row r="97" spans="1:33">
      <c r="B97" s="31"/>
    </row>
    <row r="98" s="9" customFormat="1" spans="1:33">
      <c r="A98" s="10"/>
      <c r="B98" s="31"/>
      <c r="D98" s="10"/>
      <c r="J98" s="10"/>
      <c r="K98" s="10"/>
      <c r="L98" s="10"/>
      <c r="P98" s="10"/>
      <c r="R98" s="10"/>
      <c r="S98" s="10"/>
      <c r="T98" s="10"/>
      <c r="X98" s="10"/>
      <c r="Z98" s="10"/>
      <c r="AA98" s="10"/>
      <c r="AF98" s="7"/>
      <c r="AG98" s="7"/>
    </row>
    <row r="99" s="9" customFormat="1" spans="1:33">
      <c r="A99" s="10"/>
      <c r="B99" s="31"/>
      <c r="J99" s="10"/>
      <c r="K99" s="10"/>
      <c r="L99" s="10"/>
      <c r="P99" s="10"/>
      <c r="R99" s="10"/>
      <c r="S99" s="10"/>
      <c r="T99" s="10"/>
      <c r="X99" s="10"/>
      <c r="Z99" s="10"/>
      <c r="AA99" s="10"/>
      <c r="AF99" s="7"/>
      <c r="AG99" s="7"/>
    </row>
    <row r="100" s="9" customFormat="1" spans="1:33">
      <c r="A100" s="10"/>
      <c r="B100" s="31"/>
      <c r="J100" s="10"/>
      <c r="K100" s="10"/>
      <c r="L100" s="10"/>
      <c r="P100" s="10"/>
      <c r="R100" s="10"/>
      <c r="S100" s="10"/>
      <c r="T100" s="10"/>
      <c r="X100" s="10"/>
      <c r="Z100" s="10"/>
      <c r="AA100" s="10"/>
      <c r="AF100" s="7"/>
      <c r="AG100" s="7"/>
    </row>
    <row r="101" s="9" customFormat="1" spans="1:33">
      <c r="A101" s="10"/>
      <c r="B101" s="31"/>
      <c r="J101" s="10"/>
      <c r="K101" s="10"/>
      <c r="L101" s="10"/>
      <c r="P101" s="10"/>
      <c r="R101" s="10"/>
      <c r="S101" s="10"/>
      <c r="T101" s="10"/>
      <c r="X101" s="10"/>
      <c r="Z101" s="10"/>
      <c r="AA101" s="10"/>
      <c r="AF101" s="7"/>
      <c r="AG101" s="7"/>
    </row>
    <row r="102" s="9" customFormat="1" spans="1:33">
      <c r="A102" s="10"/>
      <c r="B102" s="31"/>
      <c r="J102" s="10"/>
      <c r="K102" s="10"/>
      <c r="L102" s="10"/>
      <c r="P102" s="10"/>
      <c r="R102" s="10"/>
      <c r="S102" s="10"/>
      <c r="T102" s="10"/>
      <c r="X102" s="10"/>
      <c r="Z102" s="10"/>
      <c r="AA102" s="10"/>
      <c r="AF102" s="7"/>
      <c r="AG102" s="7"/>
    </row>
    <row r="103" s="9" customFormat="1" spans="1:33">
      <c r="A103" s="10"/>
      <c r="B103" s="30"/>
      <c r="J103" s="10"/>
      <c r="K103" s="10"/>
      <c r="L103" s="10"/>
      <c r="P103" s="10"/>
      <c r="R103" s="10"/>
      <c r="S103" s="10"/>
      <c r="T103" s="10"/>
      <c r="X103" s="10"/>
      <c r="Z103" s="10"/>
      <c r="AA103" s="10"/>
      <c r="AF103" s="7"/>
      <c r="AG103" s="7"/>
    </row>
    <row r="104" s="9" customFormat="1" spans="1:33">
      <c r="A104" s="10"/>
      <c r="B104" s="30"/>
      <c r="J104" s="10"/>
      <c r="K104" s="10"/>
      <c r="L104" s="10"/>
      <c r="P104" s="10"/>
      <c r="R104" s="10"/>
      <c r="S104" s="10"/>
      <c r="T104" s="10"/>
      <c r="X104" s="10"/>
      <c r="Z104" s="10"/>
      <c r="AA104" s="10"/>
      <c r="AF104" s="7"/>
      <c r="AG104" s="7"/>
    </row>
    <row r="105" s="9" customFormat="1" spans="1:33">
      <c r="A105" s="10"/>
      <c r="B105" s="30"/>
      <c r="J105" s="10"/>
      <c r="K105" s="10"/>
      <c r="L105" s="10"/>
      <c r="P105" s="10"/>
      <c r="R105" s="10"/>
      <c r="S105" s="10"/>
      <c r="T105" s="10"/>
      <c r="X105" s="10"/>
      <c r="Z105" s="10"/>
      <c r="AA105" s="10"/>
      <c r="AF105" s="7"/>
      <c r="AG105" s="7"/>
    </row>
    <row r="106" s="9" customFormat="1" spans="1:33">
      <c r="A106" s="10"/>
      <c r="B106" s="30"/>
      <c r="J106" s="10"/>
      <c r="K106" s="10"/>
      <c r="L106" s="10"/>
      <c r="P106" s="10"/>
      <c r="R106" s="10"/>
      <c r="S106" s="10"/>
      <c r="T106" s="10"/>
      <c r="X106" s="10"/>
      <c r="Z106" s="10"/>
      <c r="AA106" s="10"/>
      <c r="AF106" s="7"/>
      <c r="AG106" s="7"/>
    </row>
    <row r="107" s="9" customFormat="1" spans="1:33">
      <c r="A107" s="10"/>
      <c r="B107" s="30"/>
      <c r="J107" s="10"/>
      <c r="K107" s="10"/>
      <c r="L107" s="10"/>
      <c r="P107" s="10"/>
      <c r="R107" s="10"/>
      <c r="S107" s="10"/>
      <c r="T107" s="10"/>
      <c r="X107" s="10"/>
      <c r="Z107" s="10"/>
      <c r="AA107" s="10"/>
      <c r="AF107" s="7"/>
      <c r="AG107" s="7"/>
    </row>
    <row r="108" s="9" customFormat="1" spans="1:33">
      <c r="A108" s="10"/>
      <c r="B108" s="30"/>
      <c r="J108" s="10"/>
      <c r="K108" s="10"/>
      <c r="L108" s="10"/>
      <c r="P108" s="10"/>
      <c r="R108" s="10"/>
      <c r="S108" s="10"/>
      <c r="T108" s="10"/>
      <c r="X108" s="10"/>
      <c r="Z108" s="10"/>
      <c r="AA108" s="10"/>
      <c r="AF108" s="7"/>
      <c r="AG108" s="7"/>
    </row>
    <row r="109" s="9" customFormat="1" spans="1:33">
      <c r="A109" s="10"/>
      <c r="B109" s="30"/>
      <c r="J109" s="10"/>
      <c r="K109" s="10"/>
      <c r="L109" s="10"/>
      <c r="P109" s="10"/>
      <c r="R109" s="10"/>
      <c r="S109" s="10"/>
      <c r="T109" s="10"/>
      <c r="X109" s="10"/>
      <c r="Z109" s="10"/>
      <c r="AA109" s="10"/>
      <c r="AF109" s="7"/>
      <c r="AG109" s="7"/>
    </row>
    <row r="110" s="9" customFormat="1" spans="1:33">
      <c r="A110" s="10"/>
      <c r="J110" s="10"/>
      <c r="K110" s="10"/>
      <c r="L110" s="10"/>
      <c r="P110" s="10"/>
      <c r="R110" s="10"/>
      <c r="S110" s="10"/>
      <c r="T110" s="10"/>
      <c r="X110" s="10"/>
      <c r="Z110" s="10"/>
      <c r="AA110" s="10"/>
      <c r="AF110" s="7"/>
      <c r="AG110" s="7"/>
    </row>
    <row r="111" s="9" customFormat="1" spans="1:33">
      <c r="A111" s="10"/>
      <c r="J111" s="10"/>
      <c r="K111" s="10"/>
      <c r="L111" s="10"/>
      <c r="P111" s="10"/>
      <c r="R111" s="10"/>
      <c r="S111" s="10"/>
      <c r="T111" s="10"/>
      <c r="X111" s="10"/>
      <c r="Z111" s="10"/>
      <c r="AA111" s="10"/>
      <c r="AF111" s="7"/>
      <c r="AG111" s="7"/>
    </row>
    <row r="112" s="9" customFormat="1" spans="1:33">
      <c r="A112" s="10"/>
      <c r="J112" s="10"/>
      <c r="K112" s="10"/>
      <c r="L112" s="10"/>
      <c r="P112" s="10"/>
      <c r="R112" s="10"/>
      <c r="S112" s="10"/>
      <c r="T112" s="10"/>
      <c r="X112" s="10"/>
      <c r="Z112" s="10"/>
      <c r="AA112" s="10"/>
      <c r="AF112" s="7"/>
      <c r="AG112" s="7"/>
    </row>
    <row r="113" spans="4:4">
      <c r="D113" s="9"/>
    </row>
  </sheetData>
  <mergeCells count="1">
    <mergeCell ref="A1:Z1"/>
  </mergeCells>
  <printOptions horizontalCentered="1" verticalCentered="1"/>
  <pageMargins left="0" right="0" top="0" bottom="0" header="0" footer="0"/>
  <pageSetup paperSize="9" scale="67" fitToHeight="2" orientation="landscape"/>
  <headerFooter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 &amp; GH Link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</dc:creator>
  <cp:lastModifiedBy>nages</cp:lastModifiedBy>
  <dcterms:created xsi:type="dcterms:W3CDTF">2026-04-28T09:46:00Z</dcterms:created>
  <dcterms:modified xsi:type="dcterms:W3CDTF">2026-04-28T11:26:49Z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D14DD229DFA84AF194E35F449DA2A3B8_11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